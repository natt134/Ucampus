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a4ce8f9ffed9e9d4/Documentos/Sexto Semestre!!/Software II/"/>
    </mc:Choice>
  </mc:AlternateContent>
  <xr:revisionPtr revIDLastSave="7" documentId="11_DFB35097535B361DD71D8CCA0B9A27C9932413C8" xr6:coauthVersionLast="47" xr6:coauthVersionMax="47" xr10:uidLastSave="{92345B29-DB64-465B-9B82-B523EDCA51AE}"/>
  <bookViews>
    <workbookView xWindow="-108" yWindow="-108" windowWidth="23256" windowHeight="12456" tabRatio="500" firstSheet="3" activeTab="7" xr2:uid="{00000000-000D-0000-FFFF-FFFF00000000}"/>
  </bookViews>
  <sheets>
    <sheet name="E.General" sheetId="1" r:id="rId1"/>
    <sheet name="A-Personal" sheetId="2" r:id="rId2"/>
    <sheet name="B-Equipos" sheetId="3" r:id="rId3"/>
    <sheet name="C-Viajes" sheetId="4" r:id="rId4"/>
    <sheet name="D-Materiales" sheetId="5" r:id="rId5"/>
    <sheet name="E-Ase Tecn. y Soporte" sheetId="6" r:id="rId6"/>
    <sheet name="F-Otros" sheetId="7" r:id="rId7"/>
    <sheet name="Fujo de Caja" sheetId="8" r:id="rId8"/>
    <sheet name="Hoja2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9" i="1" l="1"/>
  <c r="I23" i="8"/>
  <c r="H23" i="8"/>
  <c r="F23" i="8"/>
  <c r="E23" i="8"/>
  <c r="T22" i="8"/>
  <c r="G22" i="8"/>
  <c r="T20" i="8"/>
  <c r="G20" i="8"/>
  <c r="T18" i="8"/>
  <c r="G18" i="8"/>
  <c r="T16" i="8"/>
  <c r="G16" i="8"/>
  <c r="T15" i="8"/>
  <c r="G15" i="8"/>
  <c r="T13" i="8"/>
  <c r="G13" i="8"/>
  <c r="T12" i="8"/>
  <c r="G12" i="8"/>
  <c r="T10" i="8"/>
  <c r="G10" i="8"/>
  <c r="T9" i="8"/>
  <c r="G9" i="8"/>
  <c r="T7" i="8"/>
  <c r="G7" i="8"/>
  <c r="G23" i="8" s="1"/>
  <c r="F11" i="7"/>
  <c r="F10" i="7"/>
  <c r="F9" i="7"/>
  <c r="F12" i="7" s="1"/>
  <c r="C33" i="1" s="1"/>
  <c r="F8" i="7"/>
  <c r="F7" i="7"/>
  <c r="F9" i="6"/>
  <c r="F8" i="6"/>
  <c r="F7" i="6"/>
  <c r="F10" i="5"/>
  <c r="F9" i="5"/>
  <c r="F8" i="5"/>
  <c r="F7" i="5"/>
  <c r="F11" i="5" s="1"/>
  <c r="C22" i="1" s="1"/>
  <c r="F8" i="4"/>
  <c r="F7" i="4"/>
  <c r="F6" i="4"/>
  <c r="F9" i="4" s="1"/>
  <c r="C17" i="1" s="1"/>
  <c r="F10" i="3"/>
  <c r="F9" i="3"/>
  <c r="F8" i="3"/>
  <c r="F7" i="3"/>
  <c r="C11" i="1" s="1"/>
  <c r="F11" i="1" s="1"/>
  <c r="G11" i="1" s="1"/>
  <c r="F6" i="3"/>
  <c r="F11" i="2"/>
  <c r="C8" i="1" s="1"/>
  <c r="F10" i="2"/>
  <c r="F9" i="2"/>
  <c r="F8" i="2"/>
  <c r="F7" i="2"/>
  <c r="E33" i="1"/>
  <c r="D33" i="1"/>
  <c r="C28" i="1"/>
  <c r="F28" i="1" s="1"/>
  <c r="B28" i="1"/>
  <c r="E26" i="1"/>
  <c r="D26" i="1"/>
  <c r="B24" i="1"/>
  <c r="E22" i="1"/>
  <c r="D22" i="1"/>
  <c r="C20" i="1"/>
  <c r="F20" i="1" s="1"/>
  <c r="G20" i="1" s="1"/>
  <c r="B20" i="1"/>
  <c r="C19" i="1"/>
  <c r="F19" i="1" s="1"/>
  <c r="E17" i="1"/>
  <c r="D17" i="1"/>
  <c r="C15" i="1"/>
  <c r="F15" i="1" s="1"/>
  <c r="B15" i="1"/>
  <c r="E13" i="1"/>
  <c r="D13" i="1"/>
  <c r="C13" i="1"/>
  <c r="B11" i="1"/>
  <c r="C10" i="1"/>
  <c r="F10" i="1" s="1"/>
  <c r="B10" i="1"/>
  <c r="E8" i="1"/>
  <c r="E34" i="1" s="1"/>
  <c r="D8" i="1"/>
  <c r="D34" i="1" s="1"/>
  <c r="C7" i="1"/>
  <c r="F7" i="1" s="1"/>
  <c r="B7" i="1"/>
  <c r="T24" i="8" l="1"/>
  <c r="T23" i="8"/>
  <c r="F10" i="6"/>
  <c r="C26" i="1" s="1"/>
  <c r="C34" i="1" s="1"/>
  <c r="C24" i="1"/>
  <c r="F24" i="1" s="1"/>
  <c r="G28" i="1"/>
  <c r="G33" i="1" s="1"/>
  <c r="F33" i="1"/>
  <c r="G19" i="1"/>
  <c r="G22" i="1" s="1"/>
  <c r="F22" i="1"/>
  <c r="G15" i="1"/>
  <c r="G17" i="1" s="1"/>
  <c r="F17" i="1"/>
  <c r="G10" i="1"/>
  <c r="G13" i="1" s="1"/>
  <c r="F13" i="1"/>
  <c r="F8" i="1"/>
  <c r="G7" i="1"/>
  <c r="G8" i="1" s="1"/>
  <c r="D35" i="1" l="1"/>
  <c r="E35" i="1"/>
  <c r="G24" i="1"/>
  <c r="G26" i="1" s="1"/>
  <c r="G34" i="1" s="1"/>
  <c r="F26" i="1"/>
  <c r="F34" i="1"/>
  <c r="F35" i="1" s="1"/>
  <c r="G35" i="1" l="1"/>
</calcChain>
</file>

<file path=xl/sharedStrings.xml><?xml version="1.0" encoding="utf-8"?>
<sst xmlns="http://schemas.openxmlformats.org/spreadsheetml/2006/main" count="120" uniqueCount="93">
  <si>
    <t>Presupuesto para la ejecución del Proyecto de Gestión de Conocimiento – UCampus</t>
  </si>
  <si>
    <t>Ítem</t>
  </si>
  <si>
    <t>Valor en Pesos Colombianos ( $)</t>
  </si>
  <si>
    <t>Fuente de Financiamiento*</t>
  </si>
  <si>
    <t>Total ($)</t>
  </si>
  <si>
    <t>Fuente A</t>
  </si>
  <si>
    <t>Fuente B</t>
  </si>
  <si>
    <t>Recursos propios</t>
  </si>
  <si>
    <t>A. Personal</t>
  </si>
  <si>
    <t>Subtotal</t>
  </si>
  <si>
    <t>B. Equipos  y Software</t>
  </si>
  <si>
    <t>C. Viajes y Salidas de Campo</t>
  </si>
  <si>
    <t>D. Materiales</t>
  </si>
  <si>
    <t>E. Asesorías técnicas  y de soporte</t>
  </si>
  <si>
    <t>F. Otros</t>
  </si>
  <si>
    <t>Total</t>
  </si>
  <si>
    <t>Porcentaje</t>
  </si>
  <si>
    <t>*Rubros No Financiables con fuentes externas</t>
  </si>
  <si>
    <t>Nota: valores tomados de la sección 17 "Recursos necesarios" de la propuesta UCampus (total $13.600.000). Se asume financiación 100% con recursos propios de los estudiantes.</t>
  </si>
  <si>
    <t>Personal requerido para la ejecución del proyecto UCampus</t>
  </si>
  <si>
    <t xml:space="preserve">Categoría </t>
  </si>
  <si>
    <t>Salario - Honorario -  Mensual ($)</t>
  </si>
  <si>
    <t>Cantidad</t>
  </si>
  <si>
    <t>Tiempo  de Vinculación en meses</t>
  </si>
  <si>
    <t>Importe $</t>
  </si>
  <si>
    <t>Estudiantes desarrolladores (Ing. de Sistemas y Computación): análisis, diseño, programación y documentación</t>
  </si>
  <si>
    <t xml:space="preserve">Subtotal </t>
  </si>
  <si>
    <t>Equipos y software</t>
  </si>
  <si>
    <t>Descripción</t>
  </si>
  <si>
    <t>Unidad de  Medida</t>
  </si>
  <si>
    <t>Precio Unitario ($)</t>
  </si>
  <si>
    <t>Computadores personales</t>
  </si>
  <si>
    <t>Unidad</t>
  </si>
  <si>
    <t>Software gratuito / educativo (Visual Studio Code, GitHub, Jira)</t>
  </si>
  <si>
    <t>Licencia</t>
  </si>
  <si>
    <t xml:space="preserve">Subtotal  </t>
  </si>
  <si>
    <t xml:space="preserve"> Viajes y salidas de Campo</t>
  </si>
  <si>
    <t xml:space="preserve">Concepto </t>
  </si>
  <si>
    <t>Tarifa diaria en $</t>
  </si>
  <si>
    <t xml:space="preserve">Numero de días por viaje/salida de campo </t>
  </si>
  <si>
    <t>Número de Viajes y/o salidas de campo</t>
  </si>
  <si>
    <t xml:space="preserve">Importe ($) </t>
  </si>
  <si>
    <t>Transporte a la universidad (entrevistas, reuniones y actividades del proyecto)</t>
  </si>
  <si>
    <t>Materiales</t>
  </si>
  <si>
    <t xml:space="preserve">Descripción del Material </t>
  </si>
  <si>
    <t>Unidad de medida</t>
  </si>
  <si>
    <t>Conexión a Internet (2 estudiantes × 2 meses)</t>
  </si>
  <si>
    <t>Mes</t>
  </si>
  <si>
    <t>Bibliografía (artículos y documentos académicos de acceso abierto y recursos de la universidad)</t>
  </si>
  <si>
    <t>Global</t>
  </si>
  <si>
    <t>Asesorías técnicas  y  soporte</t>
  </si>
  <si>
    <t xml:space="preserve">Descripción </t>
  </si>
  <si>
    <t>No aplica</t>
  </si>
  <si>
    <t>-</t>
  </si>
  <si>
    <t xml:space="preserve">Otros </t>
  </si>
  <si>
    <t>Montaje: computadores y servidores locales o servicios gratuitos para pruebas del prototipo</t>
  </si>
  <si>
    <t>Flujo de Caja para la ejecución del proyecto UCampus – Componente egresos</t>
  </si>
  <si>
    <t>Actividades/Tareas/ subtareas**</t>
  </si>
  <si>
    <t>Fuentes de Financiamiento</t>
  </si>
  <si>
    <t>Requerimiento de recuros ($)</t>
  </si>
  <si>
    <t>Mes 1 (2 sep – 1 oct 2026)</t>
  </si>
  <si>
    <t>Mes 2 (2 oct – 3 nov 2026)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</si>
  <si>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</si>
  <si>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</si>
  <si>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</si>
  <si>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</si>
  <si>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</si>
  <si>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</si>
  <si>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</si>
  <si>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</si>
  <si>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n-1</t>
  </si>
  <si>
    <t>Mes n</t>
  </si>
  <si>
    <t xml:space="preserve">Total </t>
  </si>
  <si>
    <t>Actividad 0. Alistamiento de recursos</t>
  </si>
  <si>
    <t>Equipos de cómputo y software (2 computadores; VS Code, GitHub, Jira)</t>
  </si>
  <si>
    <t>Actividad 1. Análisis – Concebir (2 al 16 sep)</t>
  </si>
  <si>
    <t>1.1 Recolección de información: elaborar, aplicar y analizar encuesta / entrevistas</t>
  </si>
  <si>
    <t>1.2–1.6 Problema, objetivos, stakeholders, levantamiento y clasificación de requisitos</t>
  </si>
  <si>
    <t>Actividad 2. Diseño – Diseñar (17 sep al 8 oct)</t>
  </si>
  <si>
    <t>2.1–2.2 Arquitectura del sistema y diseño de base de datos (MER)</t>
  </si>
  <si>
    <t>2.3–2.4 Diseño UML (casos de uso, clases) y diseño de interfaz</t>
  </si>
  <si>
    <t>Actividad 3. Desarrollo – Implementar (9 al 16 oct)</t>
  </si>
  <si>
    <t>3.1 Integración de los módulos</t>
  </si>
  <si>
    <t>3.2 Panel administrativo</t>
  </si>
  <si>
    <t>Actividad 4. Pruebas (19 al 26 oct)</t>
  </si>
  <si>
    <t>4.1–4.3 Pruebas funcionales, pruebas de interfaz y corrección de errores</t>
  </si>
  <si>
    <t>Actividad 5. Despliegue – Operar (27 oct al 3 nov)</t>
  </si>
  <si>
    <t>5.1 Puesta en funcionamiento y montaje en servidores locales o servicios gratuitos</t>
  </si>
  <si>
    <t>Actividad transversal. Conectividad</t>
  </si>
  <si>
    <t>Conexión a Internet (2 estudiantes)</t>
  </si>
  <si>
    <t>Subtotales</t>
  </si>
  <si>
    <t>Costo  total  del proyecto.</t>
  </si>
  <si>
    <t>* Horizonte de ejecución del proyecto: 2 meses (2 de septiembre al 3 de noviembre de 2026), según el cronograma de la propuesta.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</si>
</sst>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\-??\ _€_-;_-@_-"/>
    <numFmt numFmtId="165" formatCode="_ * #,##0_ ;_ * \-#,##0_ ;_ * \-??_ ;_ @_ "/>
  </numFmts>
  <fonts count="22" x14ac:knownFonts="1">
    <font>
      <sz val="11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b/>
      <sz val="14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0"/>
      <color rgb="FF000000"/>
      <name val="Calibri"/>
      <charset val="1"/>
    </font>
    <font>
      <b/>
      <sz val="12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sz val="11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/>
      <sz val="10"/>
      <color theme="1"/>
      <name val="Calibri"/>
      <family val="2"/>
      <charset val="1"/>
    </font>
    <font>
      <sz val="11"/>
      <name val="Calibri"/>
      <family val="2"/>
      <charset val="1"/>
    </font>
    <font>
      <b/>
      <sz val="12"/>
      <name val="Calibri"/>
      <family val="2"/>
      <charset val="1"/>
    </font>
    <font>
      <b/>
      <sz val="11"/>
      <name val="Calibri"/>
      <family val="2"/>
      <charset val="1"/>
    </font>
    <font>
      <b/>
      <sz val="14"/>
      <name val="Calibri"/>
      <family val="2"/>
      <charset val="1"/>
    </font>
    <font>
      <b/>
      <sz val="9"/>
      <color theme="1"/>
      <name val="Calibri"/>
      <family val="2"/>
      <charset val="1"/>
    </font>
    <font>
      <b/>
      <sz val="10"/>
      <name val="Calibri"/>
      <family val="2"/>
      <charset val="1"/>
    </font>
    <font>
      <b/>
      <sz val="11"/>
      <color rgb="FF000000"/>
      <name val="Calibri"/>
      <charset val="1"/>
    </font>
    <font>
      <sz val="8"/>
      <name val="Calibri"/>
      <family val="2"/>
      <charset val="1"/>
    </font>
    <font>
      <sz val="11"/>
      <color rgb="FF000000"/>
      <name val="Calibri"/>
      <charset val="1"/>
    </font>
    <font>
      <i/>
      <sz val="11"/>
      <color rgb="FF000000"/>
      <name val="Calibri"/>
      <charset val="1"/>
    </font>
  </fonts>
  <fills count="11">
    <fill>
      <patternFill patternType="none"/>
    </fill>
    <fill>
      <patternFill patternType="gray125"/>
    </fill>
    <fill>
      <patternFill patternType="solid">
        <fgColor theme="8" tint="0.59987182226020086"/>
        <bgColor rgb="FFB9CDE5"/>
      </patternFill>
    </fill>
    <fill>
      <patternFill patternType="solid">
        <fgColor theme="4" tint="0.59987182226020086"/>
        <bgColor rgb="FFB7DEE8"/>
      </patternFill>
    </fill>
    <fill>
      <patternFill patternType="solid">
        <fgColor rgb="FFFFFF66"/>
        <bgColor rgb="FFFFFF00"/>
      </patternFill>
    </fill>
    <fill>
      <patternFill patternType="solid">
        <fgColor rgb="FFFFFFFF"/>
        <bgColor rgb="FFF2F2F2"/>
      </patternFill>
    </fill>
    <fill>
      <patternFill patternType="solid">
        <fgColor theme="0" tint="-0.14999847407452621"/>
        <bgColor rgb="FFD9E1F2"/>
      </patternFill>
    </fill>
    <fill>
      <patternFill patternType="solid">
        <fgColor theme="0" tint="-0.249977111117893"/>
        <bgColor rgb="FFB9CDE5"/>
      </patternFill>
    </fill>
    <fill>
      <patternFill patternType="solid">
        <fgColor theme="6" tint="0.39988402966399123"/>
        <bgColor rgb="FFBFBFBF"/>
      </patternFill>
    </fill>
    <fill>
      <patternFill patternType="solid">
        <fgColor rgb="FFD9E1F2"/>
        <bgColor rgb="FFD9D9D9"/>
      </patternFill>
    </fill>
    <fill>
      <patternFill patternType="solid">
        <fgColor theme="0" tint="-4.9989318521683403E-2"/>
        <bgColor rgb="FFFFFFFF"/>
      </patternFill>
    </fill>
  </fills>
  <borders count="3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7" fillId="5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7" fillId="5" borderId="22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top" wrapText="1"/>
    </xf>
    <xf numFmtId="0" fontId="5" fillId="0" borderId="21" xfId="0" applyFont="1" applyBorder="1" applyAlignment="1">
      <alignment horizontal="left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justify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vertical="center" wrapText="1"/>
    </xf>
    <xf numFmtId="164" fontId="1" fillId="0" borderId="10" xfId="0" applyNumberFormat="1" applyFont="1" applyBorder="1" applyAlignment="1">
      <alignment horizontal="center" vertical="center" wrapText="1"/>
    </xf>
    <xf numFmtId="164" fontId="1" fillId="0" borderId="11" xfId="0" applyNumberFormat="1" applyFont="1" applyBorder="1" applyAlignment="1">
      <alignment horizontal="center" vertical="center" wrapText="1"/>
    </xf>
    <xf numFmtId="0" fontId="3" fillId="6" borderId="9" xfId="0" applyFont="1" applyFill="1" applyBorder="1" applyAlignment="1">
      <alignment horizontal="justify" vertical="center" wrapText="1"/>
    </xf>
    <xf numFmtId="164" fontId="3" fillId="6" borderId="10" xfId="0" applyNumberFormat="1" applyFont="1" applyFill="1" applyBorder="1" applyAlignment="1">
      <alignment horizontal="center" vertical="center" wrapText="1"/>
    </xf>
    <xf numFmtId="164" fontId="3" fillId="6" borderId="11" xfId="0" applyNumberFormat="1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justify" vertical="center" wrapText="1"/>
    </xf>
    <xf numFmtId="164" fontId="1" fillId="4" borderId="10" xfId="0" applyNumberFormat="1" applyFont="1" applyFill="1" applyBorder="1" applyAlignment="1">
      <alignment horizontal="center" vertical="center" wrapText="1"/>
    </xf>
    <xf numFmtId="164" fontId="1" fillId="4" borderId="11" xfId="0" applyNumberFormat="1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left" vertical="center" wrapText="1"/>
    </xf>
    <xf numFmtId="0" fontId="3" fillId="6" borderId="12" xfId="0" applyFont="1" applyFill="1" applyBorder="1" applyAlignment="1">
      <alignment horizontal="justify" vertical="center" wrapText="1"/>
    </xf>
    <xf numFmtId="164" fontId="3" fillId="6" borderId="13" xfId="0" applyNumberFormat="1" applyFont="1" applyFill="1" applyBorder="1" applyAlignment="1">
      <alignment horizontal="center" vertical="center" wrapText="1"/>
    </xf>
    <xf numFmtId="164" fontId="3" fillId="6" borderId="14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164" fontId="3" fillId="0" borderId="16" xfId="0" applyNumberFormat="1" applyFont="1" applyBorder="1" applyAlignment="1">
      <alignment horizontal="center" vertical="center" wrapText="1"/>
    </xf>
    <xf numFmtId="164" fontId="3" fillId="0" borderId="17" xfId="0" applyNumberFormat="1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10" fontId="3" fillId="0" borderId="19" xfId="0" applyNumberFormat="1" applyFont="1" applyBorder="1" applyAlignment="1">
      <alignment horizontal="center" vertical="center"/>
    </xf>
    <xf numFmtId="10" fontId="3" fillId="0" borderId="20" xfId="0" applyNumberFormat="1" applyFont="1" applyBorder="1" applyAlignment="1">
      <alignment horizontal="center" vertical="center"/>
    </xf>
    <xf numFmtId="0" fontId="7" fillId="0" borderId="0" xfId="0" applyFont="1" applyAlignment="1">
      <alignment horizontal="justify" vertical="center"/>
    </xf>
    <xf numFmtId="164" fontId="4" fillId="5" borderId="10" xfId="0" applyNumberFormat="1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164" fontId="4" fillId="5" borderId="11" xfId="0" applyNumberFormat="1" applyFont="1" applyFill="1" applyBorder="1" applyAlignment="1">
      <alignment horizontal="center" vertical="center" wrapText="1"/>
    </xf>
    <xf numFmtId="164" fontId="7" fillId="5" borderId="23" xfId="0" applyNumberFormat="1" applyFont="1" applyFill="1" applyBorder="1" applyAlignment="1">
      <alignment horizontal="right" vertical="center" wrapText="1"/>
    </xf>
    <xf numFmtId="0" fontId="1" fillId="0" borderId="0" xfId="0" applyFont="1" applyAlignment="1">
      <alignment horizontal="justify" vertical="center"/>
    </xf>
    <xf numFmtId="0" fontId="8" fillId="0" borderId="0" xfId="0" applyFont="1" applyAlignment="1">
      <alignment horizontal="center" vertical="center"/>
    </xf>
    <xf numFmtId="0" fontId="4" fillId="5" borderId="6" xfId="0" applyFont="1" applyFill="1" applyBorder="1" applyAlignment="1">
      <alignment vertical="center" wrapText="1"/>
    </xf>
    <xf numFmtId="0" fontId="4" fillId="5" borderId="7" xfId="0" applyFont="1" applyFill="1" applyBorder="1" applyAlignment="1">
      <alignment horizontal="center" vertical="center" wrapText="1"/>
    </xf>
    <xf numFmtId="164" fontId="4" fillId="5" borderId="7" xfId="0" applyNumberFormat="1" applyFont="1" applyFill="1" applyBorder="1" applyAlignment="1">
      <alignment horizontal="center" vertical="center" wrapText="1"/>
    </xf>
    <xf numFmtId="164" fontId="4" fillId="5" borderId="8" xfId="0" applyNumberFormat="1" applyFont="1" applyFill="1" applyBorder="1" applyAlignment="1">
      <alignment horizontal="right" vertical="center" wrapText="1"/>
    </xf>
    <xf numFmtId="0" fontId="4" fillId="5" borderId="12" xfId="0" applyFont="1" applyFill="1" applyBorder="1" applyAlignment="1">
      <alignment vertical="center" wrapText="1"/>
    </xf>
    <xf numFmtId="0" fontId="4" fillId="5" borderId="13" xfId="0" applyFont="1" applyFill="1" applyBorder="1" applyAlignment="1">
      <alignment horizontal="center" vertical="center" wrapText="1"/>
    </xf>
    <xf numFmtId="164" fontId="4" fillId="5" borderId="13" xfId="0" applyNumberFormat="1" applyFont="1" applyFill="1" applyBorder="1" applyAlignment="1">
      <alignment horizontal="center" vertical="center" wrapText="1"/>
    </xf>
    <xf numFmtId="164" fontId="4" fillId="5" borderId="24" xfId="0" applyNumberFormat="1" applyFont="1" applyFill="1" applyBorder="1" applyAlignment="1">
      <alignment horizontal="right" vertical="center" wrapText="1"/>
    </xf>
    <xf numFmtId="0" fontId="9" fillId="0" borderId="0" xfId="0" applyFont="1"/>
    <xf numFmtId="164" fontId="7" fillId="5" borderId="1" xfId="0" applyNumberFormat="1" applyFont="1" applyFill="1" applyBorder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justify" vertical="center"/>
    </xf>
    <xf numFmtId="0" fontId="1" fillId="0" borderId="0" xfId="0" applyFont="1"/>
    <xf numFmtId="0" fontId="7" fillId="3" borderId="15" xfId="0" applyFont="1" applyFill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164" fontId="4" fillId="5" borderId="8" xfId="0" applyNumberFormat="1" applyFont="1" applyFill="1" applyBorder="1" applyAlignment="1">
      <alignment horizontal="center" vertical="center" wrapText="1"/>
    </xf>
    <xf numFmtId="0" fontId="3" fillId="0" borderId="0" xfId="0" applyFont="1"/>
    <xf numFmtId="164" fontId="7" fillId="5" borderId="23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10" fillId="0" borderId="0" xfId="0" applyFont="1" applyAlignment="1">
      <alignment horizontal="justify" vertical="center"/>
    </xf>
    <xf numFmtId="164" fontId="1" fillId="0" borderId="7" xfId="0" applyNumberFormat="1" applyFont="1" applyBorder="1"/>
    <xf numFmtId="164" fontId="1" fillId="0" borderId="8" xfId="0" applyNumberFormat="1" applyFont="1" applyBorder="1"/>
    <xf numFmtId="164" fontId="1" fillId="0" borderId="10" xfId="0" applyNumberFormat="1" applyFont="1" applyBorder="1"/>
    <xf numFmtId="0" fontId="10" fillId="0" borderId="0" xfId="0" applyFont="1" applyAlignment="1">
      <alignment horizontal="center"/>
    </xf>
    <xf numFmtId="164" fontId="3" fillId="0" borderId="23" xfId="0" applyNumberFormat="1" applyFont="1" applyBorder="1" applyAlignment="1">
      <alignment horizontal="center"/>
    </xf>
    <xf numFmtId="0" fontId="10" fillId="0" borderId="0" xfId="0" applyFont="1" applyAlignment="1">
      <alignment vertical="center" wrapText="1"/>
    </xf>
    <xf numFmtId="164" fontId="1" fillId="0" borderId="11" xfId="0" applyNumberFormat="1" applyFont="1" applyBorder="1"/>
    <xf numFmtId="0" fontId="11" fillId="0" borderId="0" xfId="0" applyFont="1"/>
    <xf numFmtId="164" fontId="3" fillId="0" borderId="23" xfId="0" applyNumberFormat="1" applyFont="1" applyBorder="1"/>
    <xf numFmtId="164" fontId="10" fillId="0" borderId="0" xfId="0" applyNumberFormat="1" applyFont="1"/>
    <xf numFmtId="0" fontId="12" fillId="0" borderId="0" xfId="0" applyFont="1"/>
    <xf numFmtId="0" fontId="16" fillId="4" borderId="10" xfId="0" applyFont="1" applyFill="1" applyBorder="1" applyAlignment="1">
      <alignment horizontal="center" vertical="center" wrapText="1"/>
    </xf>
    <xf numFmtId="0" fontId="17" fillId="4" borderId="10" xfId="0" applyFont="1" applyFill="1" applyBorder="1" applyAlignment="1">
      <alignment horizontal="center" vertical="center" wrapText="1"/>
    </xf>
    <xf numFmtId="0" fontId="17" fillId="4" borderId="10" xfId="0" applyFont="1" applyFill="1" applyBorder="1" applyAlignment="1">
      <alignment horizontal="center"/>
    </xf>
    <xf numFmtId="0" fontId="14" fillId="4" borderId="11" xfId="0" applyFont="1" applyFill="1" applyBorder="1"/>
    <xf numFmtId="0" fontId="18" fillId="9" borderId="10" xfId="0" applyFont="1" applyFill="1" applyBorder="1"/>
    <xf numFmtId="165" fontId="18" fillId="9" borderId="10" xfId="0" applyNumberFormat="1" applyFont="1" applyFill="1" applyBorder="1" applyAlignment="1">
      <alignment wrapText="1"/>
    </xf>
    <xf numFmtId="164" fontId="18" fillId="9" borderId="10" xfId="0" applyNumberFormat="1" applyFont="1" applyFill="1" applyBorder="1"/>
    <xf numFmtId="164" fontId="19" fillId="0" borderId="10" xfId="0" applyNumberFormat="1" applyFont="1" applyBorder="1"/>
    <xf numFmtId="0" fontId="20" fillId="0" borderId="10" xfId="0" applyFont="1" applyBorder="1"/>
    <xf numFmtId="164" fontId="20" fillId="0" borderId="10" xfId="0" applyNumberFormat="1" applyFont="1" applyBorder="1"/>
    <xf numFmtId="0" fontId="18" fillId="9" borderId="10" xfId="0" applyFont="1" applyFill="1" applyBorder="1" applyAlignment="1">
      <alignment wrapText="1"/>
    </xf>
    <xf numFmtId="165" fontId="18" fillId="9" borderId="10" xfId="0" applyNumberFormat="1" applyFont="1" applyFill="1" applyBorder="1"/>
    <xf numFmtId="164" fontId="20" fillId="0" borderId="10" xfId="0" applyNumberFormat="1" applyFont="1" applyBorder="1" applyAlignment="1">
      <alignment wrapText="1"/>
    </xf>
    <xf numFmtId="0" fontId="20" fillId="0" borderId="10" xfId="0" applyFont="1" applyBorder="1" applyAlignment="1">
      <alignment horizontal="left"/>
    </xf>
    <xf numFmtId="164" fontId="1" fillId="10" borderId="5" xfId="0" applyNumberFormat="1" applyFont="1" applyFill="1" applyBorder="1" applyAlignment="1">
      <alignment wrapText="1"/>
    </xf>
    <xf numFmtId="164" fontId="18" fillId="0" borderId="10" xfId="0" applyNumberFormat="1" applyFont="1" applyBorder="1"/>
    <xf numFmtId="164" fontId="19" fillId="0" borderId="5" xfId="0" applyNumberFormat="1" applyFont="1" applyBorder="1"/>
    <xf numFmtId="164" fontId="18" fillId="5" borderId="7" xfId="0" applyNumberFormat="1" applyFont="1" applyFill="1" applyBorder="1"/>
    <xf numFmtId="0" fontId="0" fillId="8" borderId="25" xfId="0" applyFill="1" applyBorder="1"/>
    <xf numFmtId="0" fontId="0" fillId="8" borderId="26" xfId="0" applyFill="1" applyBorder="1"/>
    <xf numFmtId="0" fontId="0" fillId="8" borderId="27" xfId="0" applyFill="1" applyBorder="1"/>
    <xf numFmtId="0" fontId="0" fillId="8" borderId="28" xfId="0" applyFill="1" applyBorder="1"/>
    <xf numFmtId="0" fontId="0" fillId="8" borderId="0" xfId="0" applyFill="1"/>
    <xf numFmtId="0" fontId="0" fillId="8" borderId="29" xfId="0" applyFill="1" applyBorder="1"/>
    <xf numFmtId="0" fontId="0" fillId="8" borderId="30" xfId="0" applyFill="1" applyBorder="1"/>
    <xf numFmtId="0" fontId="0" fillId="8" borderId="31" xfId="0" applyFill="1" applyBorder="1"/>
    <xf numFmtId="0" fontId="0" fillId="8" borderId="32" xfId="0" applyFill="1" applyBorder="1"/>
    <xf numFmtId="0" fontId="8" fillId="2" borderId="1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3" fillId="5" borderId="2" xfId="0" applyFont="1" applyFill="1" applyBorder="1" applyAlignment="1">
      <alignment horizontal="center" wrapText="1"/>
    </xf>
    <xf numFmtId="0" fontId="14" fillId="7" borderId="3" xfId="0" applyFont="1" applyFill="1" applyBorder="1" applyAlignment="1">
      <alignment horizontal="center"/>
    </xf>
    <xf numFmtId="0" fontId="15" fillId="8" borderId="3" xfId="0" applyFont="1" applyFill="1" applyBorder="1" applyAlignment="1">
      <alignment horizontal="center"/>
    </xf>
    <xf numFmtId="0" fontId="18" fillId="9" borderId="10" xfId="0" applyFont="1" applyFill="1" applyBorder="1" applyAlignment="1">
      <alignment vertical="center"/>
    </xf>
    <xf numFmtId="0" fontId="20" fillId="0" borderId="10" xfId="0" applyFont="1" applyBorder="1" applyAlignment="1">
      <alignment vertical="center" wrapText="1"/>
    </xf>
    <xf numFmtId="0" fontId="3" fillId="5" borderId="22" xfId="0" applyFont="1" applyFill="1" applyBorder="1" applyAlignment="1">
      <alignment horizontal="left"/>
    </xf>
    <xf numFmtId="0" fontId="15" fillId="0" borderId="7" xfId="0" applyFont="1" applyBorder="1"/>
    <xf numFmtId="0" fontId="21" fillId="0" borderId="1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933C"/>
      <rgbColor rgb="FF800080"/>
      <rgbColor rgb="FF008080"/>
      <rgbColor rgb="FFBFBFBF"/>
      <rgbColor rgb="FF808080"/>
      <rgbColor rgb="FF9999FF"/>
      <rgbColor rgb="FF7030A0"/>
      <rgbColor rgb="FFF2F2F2"/>
      <rgbColor rgb="FFD9E1F2"/>
      <rgbColor rgb="FF660066"/>
      <rgbColor rgb="FFD99694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66"/>
      <rgbColor rgb="FFB7DEE8"/>
      <rgbColor rgb="FFFF99CC"/>
      <rgbColor rgb="FFCC99FF"/>
      <rgbColor rgb="FFC3D69B"/>
      <rgbColor rgb="FF3366FF"/>
      <rgbColor rgb="FF33CCCC"/>
      <rgbColor rgb="FF99CC00"/>
      <rgbColor rgb="FFFFCC00"/>
      <rgbColor rgb="FFFF9900"/>
      <rgbColor rgb="FFE46C0A"/>
      <rgbColor rgb="FF558ED5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B1:G37"/>
  <sheetViews>
    <sheetView zoomScaleNormal="100" workbookViewId="0">
      <selection activeCell="A19" sqref="A19"/>
    </sheetView>
  </sheetViews>
  <sheetFormatPr baseColWidth="10" defaultColWidth="10.88671875" defaultRowHeight="15.6" x14ac:dyDescent="0.3"/>
  <cols>
    <col min="1" max="1" width="37.44140625" style="15" customWidth="1"/>
    <col min="2" max="2" width="35.6640625" style="15" customWidth="1"/>
    <col min="3" max="3" width="17.109375" style="16" customWidth="1"/>
    <col min="4" max="5" width="14.88671875" style="16" customWidth="1"/>
    <col min="6" max="6" width="14.6640625" style="16" customWidth="1"/>
    <col min="7" max="7" width="14.88671875" style="16" customWidth="1"/>
    <col min="8" max="16384" width="10.88671875" style="15"/>
  </cols>
  <sheetData>
    <row r="1" spans="2:7" ht="8.25" customHeight="1" x14ac:dyDescent="0.3"/>
    <row r="2" spans="2:7" ht="19.5" customHeight="1" x14ac:dyDescent="0.3">
      <c r="B2" s="14" t="s">
        <v>0</v>
      </c>
      <c r="C2" s="14"/>
      <c r="D2" s="14"/>
      <c r="E2" s="14"/>
      <c r="F2" s="14"/>
      <c r="G2" s="14"/>
    </row>
    <row r="3" spans="2:7" ht="6" customHeight="1" x14ac:dyDescent="0.3"/>
    <row r="4" spans="2:7" ht="15.75" customHeight="1" x14ac:dyDescent="0.3">
      <c r="B4" s="13" t="s">
        <v>1</v>
      </c>
      <c r="C4" s="12" t="s">
        <v>2</v>
      </c>
      <c r="D4" s="11" t="s">
        <v>3</v>
      </c>
      <c r="E4" s="11"/>
      <c r="F4" s="11"/>
      <c r="G4" s="10" t="s">
        <v>4</v>
      </c>
    </row>
    <row r="5" spans="2:7" ht="32.25" customHeight="1" x14ac:dyDescent="0.3">
      <c r="B5" s="13"/>
      <c r="C5" s="12"/>
      <c r="D5" s="17" t="s">
        <v>5</v>
      </c>
      <c r="E5" s="17" t="s">
        <v>6</v>
      </c>
      <c r="F5" s="17" t="s">
        <v>7</v>
      </c>
      <c r="G5" s="10"/>
    </row>
    <row r="6" spans="2:7" ht="15.75" customHeight="1" x14ac:dyDescent="0.3">
      <c r="B6" s="18" t="s">
        <v>8</v>
      </c>
      <c r="C6" s="19"/>
      <c r="D6" s="20"/>
      <c r="E6" s="20"/>
      <c r="F6" s="20"/>
      <c r="G6" s="21"/>
    </row>
    <row r="7" spans="2:7" ht="63.75" customHeight="1" x14ac:dyDescent="0.3">
      <c r="B7" s="22" t="str">
        <f>+'A-Personal'!B7</f>
        <v>Estudiantes desarrolladores (Ing. de Sistemas y Computación): análisis, diseño, programación y documentación</v>
      </c>
      <c r="C7" s="23">
        <f>+'A-Personal'!F7</f>
        <v>7000000</v>
      </c>
      <c r="D7" s="23">
        <v>0</v>
      </c>
      <c r="E7" s="23">
        <v>0</v>
      </c>
      <c r="F7" s="23">
        <f>+C7</f>
        <v>7000000</v>
      </c>
      <c r="G7" s="24">
        <f>+D7+E7+F7</f>
        <v>7000000</v>
      </c>
    </row>
    <row r="8" spans="2:7" ht="15.75" customHeight="1" x14ac:dyDescent="0.3">
      <c r="B8" s="25" t="s">
        <v>9</v>
      </c>
      <c r="C8" s="26">
        <f>+'A-Personal'!F11</f>
        <v>7000000</v>
      </c>
      <c r="D8" s="26">
        <f>SUM(D7:D7)</f>
        <v>0</v>
      </c>
      <c r="E8" s="26">
        <f>SUM(E7:E7)</f>
        <v>0</v>
      </c>
      <c r="F8" s="26">
        <f>SUM(F7:F7)</f>
        <v>7000000</v>
      </c>
      <c r="G8" s="27">
        <f>SUM(G7:G7)</f>
        <v>7000000</v>
      </c>
    </row>
    <row r="9" spans="2:7" ht="15.75" customHeight="1" x14ac:dyDescent="0.3">
      <c r="B9" s="28" t="s">
        <v>10</v>
      </c>
      <c r="C9" s="29"/>
      <c r="D9" s="29"/>
      <c r="E9" s="29"/>
      <c r="F9" s="29"/>
      <c r="G9" s="30"/>
    </row>
    <row r="10" spans="2:7" ht="15.75" customHeight="1" x14ac:dyDescent="0.3">
      <c r="B10" s="22" t="str">
        <f>+'B-Equipos'!B6</f>
        <v>Computadores personales</v>
      </c>
      <c r="C10" s="23">
        <f>+'B-Equipos'!F6</f>
        <v>6000000</v>
      </c>
      <c r="D10" s="23">
        <v>0</v>
      </c>
      <c r="E10" s="23">
        <v>0</v>
      </c>
      <c r="F10" s="23">
        <f>+C10</f>
        <v>6000000</v>
      </c>
      <c r="G10" s="24">
        <f>+D10+E10+F10</f>
        <v>6000000</v>
      </c>
    </row>
    <row r="11" spans="2:7" ht="33.75" customHeight="1" x14ac:dyDescent="0.3">
      <c r="B11" s="22" t="str">
        <f>+'B-Equipos'!B7</f>
        <v>Software gratuito / educativo (Visual Studio Code, GitHub, Jira)</v>
      </c>
      <c r="C11" s="23">
        <f>+'B-Equipos'!F7</f>
        <v>0</v>
      </c>
      <c r="D11" s="23">
        <v>0</v>
      </c>
      <c r="E11" s="23">
        <v>0</v>
      </c>
      <c r="F11" s="23">
        <f>+C11</f>
        <v>0</v>
      </c>
      <c r="G11" s="24">
        <f>+D11+E11+F11</f>
        <v>0</v>
      </c>
    </row>
    <row r="12" spans="2:7" ht="15.75" customHeight="1" x14ac:dyDescent="0.3">
      <c r="B12" s="22"/>
      <c r="C12" s="23"/>
      <c r="D12" s="23"/>
      <c r="E12" s="23"/>
      <c r="F12" s="23"/>
      <c r="G12" s="24"/>
    </row>
    <row r="13" spans="2:7" ht="15.75" customHeight="1" x14ac:dyDescent="0.3">
      <c r="B13" s="25" t="s">
        <v>9</v>
      </c>
      <c r="C13" s="26">
        <f>+'B-Equipos'!F10</f>
        <v>6000000</v>
      </c>
      <c r="D13" s="26">
        <f>SUM(D10:D12)</f>
        <v>0</v>
      </c>
      <c r="E13" s="26">
        <f>SUM(E10:E12)</f>
        <v>0</v>
      </c>
      <c r="F13" s="26">
        <f>SUM(F10:F12)</f>
        <v>6000000</v>
      </c>
      <c r="G13" s="27">
        <f>SUM(G10:G12)</f>
        <v>6000000</v>
      </c>
    </row>
    <row r="14" spans="2:7" ht="15.75" customHeight="1" x14ac:dyDescent="0.3">
      <c r="B14" s="28" t="s">
        <v>11</v>
      </c>
      <c r="C14" s="29"/>
      <c r="D14" s="29"/>
      <c r="E14" s="29"/>
      <c r="F14" s="29"/>
      <c r="G14" s="30"/>
    </row>
    <row r="15" spans="2:7" ht="48" customHeight="1" x14ac:dyDescent="0.3">
      <c r="B15" s="22" t="str">
        <f>+'C-Viajes'!B6</f>
        <v>Transporte a la universidad (entrevistas, reuniones y actividades del proyecto)</v>
      </c>
      <c r="C15" s="23">
        <f>+'C-Viajes'!F6</f>
        <v>150000</v>
      </c>
      <c r="D15" s="23">
        <v>0</v>
      </c>
      <c r="E15" s="23">
        <v>0</v>
      </c>
      <c r="F15" s="23">
        <f>+C15</f>
        <v>150000</v>
      </c>
      <c r="G15" s="24">
        <f>+D15+E15+F15</f>
        <v>150000</v>
      </c>
    </row>
    <row r="16" spans="2:7" ht="15.75" customHeight="1" x14ac:dyDescent="0.3">
      <c r="B16" s="31"/>
      <c r="C16" s="23"/>
      <c r="D16" s="23"/>
      <c r="E16" s="23"/>
      <c r="F16" s="23"/>
      <c r="G16" s="24"/>
    </row>
    <row r="17" spans="2:7" ht="15.75" customHeight="1" x14ac:dyDescent="0.3">
      <c r="B17" s="25" t="s">
        <v>9</v>
      </c>
      <c r="C17" s="26">
        <f>+'C-Viajes'!F9</f>
        <v>150000</v>
      </c>
      <c r="D17" s="26">
        <f>SUM(D15:D16)</f>
        <v>0</v>
      </c>
      <c r="E17" s="26">
        <f>SUM(E15:E16)</f>
        <v>0</v>
      </c>
      <c r="F17" s="26">
        <f>SUM(F15:F16)</f>
        <v>150000</v>
      </c>
      <c r="G17" s="27">
        <f>SUM(G15:G16)</f>
        <v>150000</v>
      </c>
    </row>
    <row r="18" spans="2:7" ht="15.75" customHeight="1" x14ac:dyDescent="0.3">
      <c r="B18" s="28" t="s">
        <v>12</v>
      </c>
      <c r="C18" s="29"/>
      <c r="D18" s="29"/>
      <c r="E18" s="29"/>
      <c r="F18" s="29"/>
      <c r="G18" s="30"/>
    </row>
    <row r="19" spans="2:7" ht="29.25" customHeight="1" x14ac:dyDescent="0.3">
      <c r="B19" s="22" t="str">
        <f>+'D-Materiales'!B7</f>
        <v>Conexión a Internet (2 estudiantes × 2 meses)</v>
      </c>
      <c r="C19" s="23">
        <f>+'D-Materiales'!F7</f>
        <v>450000</v>
      </c>
      <c r="D19" s="23">
        <v>0</v>
      </c>
      <c r="E19" s="23">
        <v>0</v>
      </c>
      <c r="F19" s="23">
        <f>+C19</f>
        <v>450000</v>
      </c>
      <c r="G19" s="24">
        <f>+D19+E19+F19</f>
        <v>450000</v>
      </c>
    </row>
    <row r="20" spans="2:7" ht="48" customHeight="1" x14ac:dyDescent="0.3">
      <c r="B20" s="22" t="str">
        <f>+'D-Materiales'!B8</f>
        <v>Bibliografía (artículos y documentos académicos de acceso abierto y recursos de la universidad)</v>
      </c>
      <c r="C20" s="23">
        <f>+'D-Materiales'!F8</f>
        <v>0</v>
      </c>
      <c r="D20" s="23">
        <v>0</v>
      </c>
      <c r="E20" s="23">
        <v>0</v>
      </c>
      <c r="F20" s="23">
        <f>+C20</f>
        <v>0</v>
      </c>
      <c r="G20" s="24">
        <f>+D20+E20+F20</f>
        <v>0</v>
      </c>
    </row>
    <row r="21" spans="2:7" ht="15.75" customHeight="1" x14ac:dyDescent="0.3">
      <c r="B21" s="22"/>
      <c r="C21" s="23"/>
      <c r="D21" s="23"/>
      <c r="E21" s="23"/>
      <c r="F21" s="23"/>
      <c r="G21" s="24"/>
    </row>
    <row r="22" spans="2:7" ht="15.75" customHeight="1" x14ac:dyDescent="0.3">
      <c r="B22" s="25" t="s">
        <v>9</v>
      </c>
      <c r="C22" s="26">
        <f>+'D-Materiales'!F11</f>
        <v>450000</v>
      </c>
      <c r="D22" s="26">
        <f>SUM(D19:D21)</f>
        <v>0</v>
      </c>
      <c r="E22" s="26">
        <f>SUM(E19:E21)</f>
        <v>0</v>
      </c>
      <c r="F22" s="26">
        <f>SUM(F19:F21)</f>
        <v>450000</v>
      </c>
      <c r="G22" s="27">
        <f>SUM(G19:G21)</f>
        <v>450000</v>
      </c>
    </row>
    <row r="23" spans="2:7" ht="14.25" customHeight="1" x14ac:dyDescent="0.3">
      <c r="B23" s="28" t="s">
        <v>13</v>
      </c>
      <c r="C23" s="29"/>
      <c r="D23" s="29"/>
      <c r="E23" s="29"/>
      <c r="F23" s="29"/>
      <c r="G23" s="30"/>
    </row>
    <row r="24" spans="2:7" ht="15.75" customHeight="1" x14ac:dyDescent="0.3">
      <c r="B24" s="22" t="str">
        <f>+'E-Ase Tecn. y Soporte'!B7</f>
        <v>No aplica</v>
      </c>
      <c r="C24" s="23">
        <f>+'E-Ase Tecn. y Soporte'!F7</f>
        <v>0</v>
      </c>
      <c r="D24" s="23">
        <v>0</v>
      </c>
      <c r="E24" s="23">
        <v>0</v>
      </c>
      <c r="F24" s="23">
        <f>+C24</f>
        <v>0</v>
      </c>
      <c r="G24" s="24">
        <f>+D24+E24+F24</f>
        <v>0</v>
      </c>
    </row>
    <row r="25" spans="2:7" ht="15.75" customHeight="1" x14ac:dyDescent="0.3">
      <c r="B25" s="22"/>
      <c r="C25" s="23"/>
      <c r="D25" s="23"/>
      <c r="E25" s="23"/>
      <c r="F25" s="23"/>
      <c r="G25" s="24"/>
    </row>
    <row r="26" spans="2:7" ht="15.75" customHeight="1" x14ac:dyDescent="0.3">
      <c r="B26" s="25" t="s">
        <v>9</v>
      </c>
      <c r="C26" s="26">
        <f>+'E-Ase Tecn. y Soporte'!F10</f>
        <v>0</v>
      </c>
      <c r="D26" s="26">
        <f>SUM(D24:D25)</f>
        <v>0</v>
      </c>
      <c r="E26" s="26">
        <f>SUM(E24:E25)</f>
        <v>0</v>
      </c>
      <c r="F26" s="26">
        <f>SUM(F24:F25)</f>
        <v>0</v>
      </c>
      <c r="G26" s="27">
        <f>SUM(G24:G25)</f>
        <v>0</v>
      </c>
    </row>
    <row r="27" spans="2:7" ht="15.75" customHeight="1" x14ac:dyDescent="0.3">
      <c r="B27" s="28" t="s">
        <v>14</v>
      </c>
      <c r="C27" s="29"/>
      <c r="D27" s="29"/>
      <c r="E27" s="29"/>
      <c r="F27" s="29"/>
      <c r="G27" s="30"/>
    </row>
    <row r="28" spans="2:7" ht="48" customHeight="1" x14ac:dyDescent="0.3">
      <c r="B28" s="22" t="str">
        <f>+'F-Otros'!B7</f>
        <v>Montaje: computadores y servidores locales o servicios gratuitos para pruebas del prototipo</v>
      </c>
      <c r="C28" s="23">
        <f>+'F-Otros'!F7</f>
        <v>0</v>
      </c>
      <c r="D28" s="23">
        <v>0</v>
      </c>
      <c r="E28" s="23">
        <v>0</v>
      </c>
      <c r="F28" s="23">
        <f>+C28</f>
        <v>0</v>
      </c>
      <c r="G28" s="24">
        <f>+D28+E28+F28</f>
        <v>0</v>
      </c>
    </row>
    <row r="29" spans="2:7" ht="15.75" customHeight="1" x14ac:dyDescent="0.3">
      <c r="B29" s="22"/>
      <c r="C29" s="23"/>
      <c r="D29" s="23"/>
      <c r="E29" s="23"/>
      <c r="F29" s="23"/>
      <c r="G29" s="24"/>
    </row>
    <row r="30" spans="2:7" ht="15.75" customHeight="1" x14ac:dyDescent="0.3">
      <c r="B30" s="22"/>
      <c r="C30" s="23"/>
      <c r="D30" s="23"/>
      <c r="E30" s="23"/>
      <c r="F30" s="23"/>
      <c r="G30" s="24"/>
    </row>
    <row r="31" spans="2:7" ht="15.75" customHeight="1" x14ac:dyDescent="0.3">
      <c r="B31" s="22"/>
      <c r="C31" s="23"/>
      <c r="D31" s="23"/>
      <c r="E31" s="23"/>
      <c r="F31" s="23"/>
      <c r="G31" s="24"/>
    </row>
    <row r="32" spans="2:7" ht="15.75" customHeight="1" x14ac:dyDescent="0.3">
      <c r="B32" s="22"/>
      <c r="C32" s="23"/>
      <c r="D32" s="23"/>
      <c r="E32" s="23"/>
      <c r="F32" s="23"/>
      <c r="G32" s="24"/>
    </row>
    <row r="33" spans="2:7" ht="16.5" customHeight="1" x14ac:dyDescent="0.3">
      <c r="B33" s="32" t="s">
        <v>9</v>
      </c>
      <c r="C33" s="33">
        <f>+'F-Otros'!F12</f>
        <v>0</v>
      </c>
      <c r="D33" s="33">
        <f>SUM(D28:D32)</f>
        <v>0</v>
      </c>
      <c r="E33" s="33">
        <f>SUM(E28:E32)</f>
        <v>0</v>
      </c>
      <c r="F33" s="33">
        <f>SUM(F28:F32)</f>
        <v>0</v>
      </c>
      <c r="G33" s="34">
        <f>SUM(G28:G32)</f>
        <v>0</v>
      </c>
    </row>
    <row r="34" spans="2:7" s="35" customFormat="1" ht="16.5" customHeight="1" x14ac:dyDescent="0.3">
      <c r="B34" s="36" t="s">
        <v>15</v>
      </c>
      <c r="C34" s="37">
        <f>+C8+C13+C17+C22+C26+C33</f>
        <v>13600000</v>
      </c>
      <c r="D34" s="37">
        <f>+D8+D13+D17+D22+D26+D33</f>
        <v>0</v>
      </c>
      <c r="E34" s="37">
        <f>+E8+E13+E17+E22+E26+E33</f>
        <v>0</v>
      </c>
      <c r="F34" s="37">
        <f>+F8+F13+F17+F22+F26+F33</f>
        <v>13600000</v>
      </c>
      <c r="G34" s="38">
        <f>+G8+G13+G17+G22+G26+G33</f>
        <v>13600000</v>
      </c>
    </row>
    <row r="35" spans="2:7" ht="16.5" customHeight="1" x14ac:dyDescent="0.3">
      <c r="B35" s="39" t="s">
        <v>16</v>
      </c>
      <c r="C35" s="40">
        <v>1</v>
      </c>
      <c r="D35" s="40">
        <f>+D34/$C$34</f>
        <v>0</v>
      </c>
      <c r="E35" s="40">
        <f>+E34/$C$34</f>
        <v>0</v>
      </c>
      <c r="F35" s="40">
        <f>+F34/$C$34</f>
        <v>1</v>
      </c>
      <c r="G35" s="41">
        <f>+F35+E35+D35</f>
        <v>1</v>
      </c>
    </row>
    <row r="36" spans="2:7" ht="16.5" customHeight="1" x14ac:dyDescent="0.3">
      <c r="B36" s="9" t="s">
        <v>17</v>
      </c>
      <c r="C36" s="9"/>
    </row>
    <row r="37" spans="2:7" ht="31.5" customHeight="1" x14ac:dyDescent="0.3">
      <c r="B37" s="8" t="s">
        <v>18</v>
      </c>
      <c r="C37" s="8"/>
      <c r="D37" s="8"/>
      <c r="E37" s="8"/>
      <c r="F37" s="8"/>
      <c r="G37" s="8"/>
    </row>
  </sheetData>
  <mergeCells count="7">
    <mergeCell ref="B36:C36"/>
    <mergeCell ref="B37:G37"/>
    <mergeCell ref="B2:G2"/>
    <mergeCell ref="B4:B5"/>
    <mergeCell ref="C4:C5"/>
    <mergeCell ref="D4:F4"/>
    <mergeCell ref="G4:G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46C0A"/>
  </sheetPr>
  <dimension ref="B2:F12"/>
  <sheetViews>
    <sheetView zoomScale="86" zoomScaleNormal="100" workbookViewId="0">
      <selection activeCell="B7" sqref="B7"/>
    </sheetView>
  </sheetViews>
  <sheetFormatPr baseColWidth="10" defaultColWidth="10.88671875" defaultRowHeight="15.6" x14ac:dyDescent="0.3"/>
  <cols>
    <col min="1" max="1" width="32.33203125" style="15" customWidth="1"/>
    <col min="2" max="2" width="25.44140625" style="15" customWidth="1"/>
    <col min="3" max="3" width="17.6640625" style="15" customWidth="1"/>
    <col min="4" max="4" width="18.88671875" style="15" customWidth="1"/>
    <col min="5" max="5" width="19.6640625" style="15" customWidth="1"/>
    <col min="6" max="6" width="16" style="15" customWidth="1"/>
    <col min="7" max="16384" width="10.88671875" style="15"/>
  </cols>
  <sheetData>
    <row r="2" spans="2:6" ht="16.5" customHeight="1" x14ac:dyDescent="0.3"/>
    <row r="3" spans="2:6" ht="16.5" customHeight="1" x14ac:dyDescent="0.3">
      <c r="B3" s="7" t="s">
        <v>19</v>
      </c>
      <c r="C3" s="7"/>
      <c r="D3" s="7"/>
      <c r="E3" s="7"/>
      <c r="F3" s="7"/>
    </row>
    <row r="4" spans="2:6" ht="9" customHeight="1" x14ac:dyDescent="0.3">
      <c r="B4" s="42"/>
    </row>
    <row r="5" spans="2:6" ht="31.5" customHeight="1" x14ac:dyDescent="0.3">
      <c r="B5" s="6" t="s">
        <v>20</v>
      </c>
      <c r="C5" s="5" t="s">
        <v>21</v>
      </c>
      <c r="D5" s="5" t="s">
        <v>22</v>
      </c>
      <c r="E5" s="5" t="s">
        <v>23</v>
      </c>
      <c r="F5" s="4" t="s">
        <v>24</v>
      </c>
    </row>
    <row r="6" spans="2:6" ht="15.75" customHeight="1" x14ac:dyDescent="0.3">
      <c r="B6" s="6"/>
      <c r="C6" s="5"/>
      <c r="D6" s="5"/>
      <c r="E6" s="5"/>
      <c r="F6" s="4"/>
    </row>
    <row r="7" spans="2:6" ht="106.2" customHeight="1" x14ac:dyDescent="0.3">
      <c r="B7" s="22" t="s">
        <v>25</v>
      </c>
      <c r="C7" s="43">
        <v>1750000</v>
      </c>
      <c r="D7" s="44">
        <v>2</v>
      </c>
      <c r="E7" s="44">
        <v>2</v>
      </c>
      <c r="F7" s="45">
        <f>+C7*D7*E7</f>
        <v>7000000</v>
      </c>
    </row>
    <row r="8" spans="2:6" ht="15.75" customHeight="1" x14ac:dyDescent="0.3">
      <c r="B8" s="22"/>
      <c r="C8" s="43"/>
      <c r="D8" s="44"/>
      <c r="E8" s="44"/>
      <c r="F8" s="45">
        <f>+C8*D8*E8</f>
        <v>0</v>
      </c>
    </row>
    <row r="9" spans="2:6" ht="15.75" customHeight="1" x14ac:dyDescent="0.3">
      <c r="B9" s="22"/>
      <c r="C9" s="43"/>
      <c r="D9" s="44"/>
      <c r="E9" s="44"/>
      <c r="F9" s="45">
        <f>+E9*D9*C9</f>
        <v>0</v>
      </c>
    </row>
    <row r="10" spans="2:6" ht="15.75" customHeight="1" x14ac:dyDescent="0.3">
      <c r="B10" s="22"/>
      <c r="C10" s="43"/>
      <c r="D10" s="44"/>
      <c r="E10" s="44"/>
      <c r="F10" s="45">
        <f>+E10*D10*C10</f>
        <v>0</v>
      </c>
    </row>
    <row r="11" spans="2:6" ht="16.5" customHeight="1" x14ac:dyDescent="0.3">
      <c r="B11" s="3" t="s">
        <v>26</v>
      </c>
      <c r="C11" s="3"/>
      <c r="D11" s="3"/>
      <c r="E11" s="3"/>
      <c r="F11" s="46">
        <f>SUM(F7:F10)</f>
        <v>7000000</v>
      </c>
    </row>
    <row r="12" spans="2:6" ht="15.75" customHeight="1" x14ac:dyDescent="0.3">
      <c r="B12" s="47"/>
    </row>
  </sheetData>
  <mergeCells count="7">
    <mergeCell ref="B11:E11"/>
    <mergeCell ref="B3:F3"/>
    <mergeCell ref="B5:B6"/>
    <mergeCell ref="C5:C6"/>
    <mergeCell ref="D5:D6"/>
    <mergeCell ref="E5:E6"/>
    <mergeCell ref="F5:F6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7933C"/>
  </sheetPr>
  <dimension ref="B1:F12"/>
  <sheetViews>
    <sheetView zoomScaleNormal="100" workbookViewId="0">
      <selection activeCell="D8" sqref="D8"/>
    </sheetView>
  </sheetViews>
  <sheetFormatPr baseColWidth="10" defaultColWidth="10.88671875" defaultRowHeight="14.4" x14ac:dyDescent="0.3"/>
  <cols>
    <col min="1" max="1" width="35.44140625" customWidth="1"/>
    <col min="2" max="2" width="21" customWidth="1"/>
    <col min="3" max="3" width="19.6640625" customWidth="1"/>
    <col min="4" max="4" width="14.33203125" customWidth="1"/>
    <col min="5" max="5" width="21" customWidth="1"/>
    <col min="6" max="6" width="16.44140625" customWidth="1"/>
  </cols>
  <sheetData>
    <row r="1" spans="2:6" ht="15.75" customHeight="1" x14ac:dyDescent="0.3"/>
    <row r="2" spans="2:6" ht="19.5" customHeight="1" x14ac:dyDescent="0.3">
      <c r="B2" s="2" t="s">
        <v>27</v>
      </c>
      <c r="C2" s="2"/>
      <c r="D2" s="2"/>
      <c r="E2" s="2"/>
      <c r="F2" s="2"/>
    </row>
    <row r="3" spans="2:6" ht="9.75" customHeight="1" x14ac:dyDescent="0.3">
      <c r="B3" s="48"/>
      <c r="C3" s="48"/>
      <c r="D3" s="48"/>
      <c r="E3" s="48"/>
      <c r="F3" s="48"/>
    </row>
    <row r="4" spans="2:6" ht="15" customHeight="1" x14ac:dyDescent="0.3">
      <c r="B4" s="6" t="s">
        <v>28</v>
      </c>
      <c r="C4" s="5" t="s">
        <v>29</v>
      </c>
      <c r="D4" s="5" t="s">
        <v>22</v>
      </c>
      <c r="E4" s="5" t="s">
        <v>30</v>
      </c>
      <c r="F4" s="4" t="s">
        <v>24</v>
      </c>
    </row>
    <row r="5" spans="2:6" ht="15" customHeight="1" x14ac:dyDescent="0.3">
      <c r="B5" s="6"/>
      <c r="C5" s="5"/>
      <c r="D5" s="5"/>
      <c r="E5" s="5"/>
      <c r="F5" s="4"/>
    </row>
    <row r="6" spans="2:6" ht="15.75" customHeight="1" x14ac:dyDescent="0.3">
      <c r="B6" s="49" t="s">
        <v>31</v>
      </c>
      <c r="C6" s="50" t="s">
        <v>32</v>
      </c>
      <c r="D6" s="50">
        <v>2</v>
      </c>
      <c r="E6" s="51">
        <v>3000000</v>
      </c>
      <c r="F6" s="52">
        <f>+D6*E6</f>
        <v>6000000</v>
      </c>
    </row>
    <row r="7" spans="2:6" ht="74.400000000000006" customHeight="1" x14ac:dyDescent="0.3">
      <c r="B7" s="22" t="s">
        <v>33</v>
      </c>
      <c r="C7" s="44" t="s">
        <v>34</v>
      </c>
      <c r="D7" s="44">
        <v>3</v>
      </c>
      <c r="E7" s="43">
        <v>0</v>
      </c>
      <c r="F7" s="52">
        <f>+D7*E7</f>
        <v>0</v>
      </c>
    </row>
    <row r="8" spans="2:6" ht="15.75" customHeight="1" x14ac:dyDescent="0.3">
      <c r="B8" s="22"/>
      <c r="C8" s="44"/>
      <c r="D8" s="44"/>
      <c r="E8" s="43"/>
      <c r="F8" s="52">
        <f>+D8*E8</f>
        <v>0</v>
      </c>
    </row>
    <row r="9" spans="2:6" ht="16.5" customHeight="1" x14ac:dyDescent="0.3">
      <c r="B9" s="53"/>
      <c r="C9" s="54"/>
      <c r="D9" s="54"/>
      <c r="E9" s="55"/>
      <c r="F9" s="56">
        <f>+D9*E9</f>
        <v>0</v>
      </c>
    </row>
    <row r="10" spans="2:6" s="57" customFormat="1" ht="16.5" customHeight="1" x14ac:dyDescent="0.3">
      <c r="B10" s="1" t="s">
        <v>35</v>
      </c>
      <c r="C10" s="1"/>
      <c r="D10" s="1"/>
      <c r="E10" s="1"/>
      <c r="F10" s="58">
        <f>SUM(F6:F9)</f>
        <v>6000000</v>
      </c>
    </row>
    <row r="11" spans="2:6" ht="15" customHeight="1" x14ac:dyDescent="0.3">
      <c r="B11" s="59"/>
      <c r="C11" s="59"/>
      <c r="D11" s="59"/>
      <c r="E11" s="59"/>
      <c r="F11" s="59"/>
    </row>
    <row r="12" spans="2:6" ht="15" customHeight="1" x14ac:dyDescent="0.3">
      <c r="B12" s="60"/>
    </row>
  </sheetData>
  <mergeCells count="7">
    <mergeCell ref="B10:E10"/>
    <mergeCell ref="B2:F2"/>
    <mergeCell ref="B4:B5"/>
    <mergeCell ref="C4:C5"/>
    <mergeCell ref="D4:D5"/>
    <mergeCell ref="E4:E5"/>
    <mergeCell ref="F4:F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99694"/>
  </sheetPr>
  <dimension ref="B2:F11"/>
  <sheetViews>
    <sheetView zoomScaleNormal="100" workbookViewId="0">
      <selection activeCell="C7" sqref="C7"/>
    </sheetView>
  </sheetViews>
  <sheetFormatPr baseColWidth="10" defaultColWidth="10.88671875" defaultRowHeight="15.6" x14ac:dyDescent="0.3"/>
  <cols>
    <col min="1" max="1" width="31.6640625" style="61" customWidth="1"/>
    <col min="2" max="2" width="26" style="61" customWidth="1"/>
    <col min="3" max="3" width="15.44140625" style="61" customWidth="1"/>
    <col min="4" max="4" width="23.109375" style="61" customWidth="1"/>
    <col min="5" max="5" width="23.6640625" style="61" customWidth="1"/>
    <col min="6" max="6" width="16" style="61" customWidth="1"/>
    <col min="7" max="16384" width="10.88671875" style="61"/>
  </cols>
  <sheetData>
    <row r="2" spans="2:6" ht="16.5" customHeight="1" x14ac:dyDescent="0.3"/>
    <row r="3" spans="2:6" ht="16.5" customHeight="1" x14ac:dyDescent="0.3">
      <c r="B3" s="7" t="s">
        <v>36</v>
      </c>
      <c r="C3" s="7"/>
      <c r="D3" s="7"/>
      <c r="E3" s="7"/>
      <c r="F3" s="7"/>
    </row>
    <row r="4" spans="2:6" ht="16.5" customHeight="1" x14ac:dyDescent="0.3">
      <c r="B4" s="42"/>
    </row>
    <row r="5" spans="2:6" ht="32.25" customHeight="1" x14ac:dyDescent="0.3">
      <c r="B5" s="62" t="s">
        <v>37</v>
      </c>
      <c r="C5" s="63" t="s">
        <v>38</v>
      </c>
      <c r="D5" s="63" t="s">
        <v>39</v>
      </c>
      <c r="E5" s="63" t="s">
        <v>40</v>
      </c>
      <c r="F5" s="64" t="s">
        <v>41</v>
      </c>
    </row>
    <row r="6" spans="2:6" ht="63.75" customHeight="1" x14ac:dyDescent="0.3">
      <c r="B6" s="49" t="s">
        <v>42</v>
      </c>
      <c r="C6" s="51">
        <v>15000</v>
      </c>
      <c r="D6" s="50">
        <v>1</v>
      </c>
      <c r="E6" s="50">
        <v>10</v>
      </c>
      <c r="F6" s="65">
        <f>+E6*D6*C6</f>
        <v>150000</v>
      </c>
    </row>
    <row r="7" spans="2:6" ht="15.75" customHeight="1" x14ac:dyDescent="0.3">
      <c r="B7" s="31"/>
      <c r="C7" s="43"/>
      <c r="D7" s="44"/>
      <c r="E7" s="44"/>
      <c r="F7" s="65">
        <f>+C7*E7</f>
        <v>0</v>
      </c>
    </row>
    <row r="8" spans="2:6" ht="15.75" customHeight="1" x14ac:dyDescent="0.3">
      <c r="B8" s="22"/>
      <c r="C8" s="43"/>
      <c r="D8" s="44"/>
      <c r="E8" s="44"/>
      <c r="F8" s="45">
        <f>+E8*D8*C8</f>
        <v>0</v>
      </c>
    </row>
    <row r="9" spans="2:6" s="66" customFormat="1" ht="16.5" customHeight="1" x14ac:dyDescent="0.3">
      <c r="B9" s="3" t="s">
        <v>26</v>
      </c>
      <c r="C9" s="3"/>
      <c r="D9" s="3"/>
      <c r="E9" s="3"/>
      <c r="F9" s="67">
        <f>SUM(F6:F8)</f>
        <v>150000</v>
      </c>
    </row>
    <row r="10" spans="2:6" ht="15.75" customHeight="1" x14ac:dyDescent="0.3">
      <c r="B10" s="47"/>
    </row>
    <row r="11" spans="2:6" ht="15.75" customHeight="1" x14ac:dyDescent="0.3">
      <c r="B11" s="47"/>
    </row>
  </sheetData>
  <mergeCells count="2">
    <mergeCell ref="B3:F3"/>
    <mergeCell ref="B9:E9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B3:F13"/>
  <sheetViews>
    <sheetView zoomScaleNormal="100" workbookViewId="0">
      <selection activeCell="F11" sqref="F11"/>
    </sheetView>
  </sheetViews>
  <sheetFormatPr baseColWidth="10" defaultColWidth="10.88671875" defaultRowHeight="13.8" x14ac:dyDescent="0.3"/>
  <cols>
    <col min="1" max="1" width="40.33203125" style="68" customWidth="1"/>
    <col min="2" max="2" width="20.6640625" style="68" customWidth="1"/>
    <col min="3" max="3" width="17.44140625" style="68" customWidth="1"/>
    <col min="4" max="4" width="12.6640625" style="68" customWidth="1"/>
    <col min="5" max="5" width="17.33203125" style="68" customWidth="1"/>
    <col min="6" max="6" width="23.109375" style="68" customWidth="1"/>
    <col min="7" max="16384" width="10.88671875" style="68"/>
  </cols>
  <sheetData>
    <row r="3" spans="2:6" ht="18.75" customHeight="1" x14ac:dyDescent="0.3">
      <c r="B3" s="108" t="s">
        <v>43</v>
      </c>
      <c r="C3" s="108"/>
      <c r="D3" s="108"/>
      <c r="E3" s="108"/>
      <c r="F3" s="108"/>
    </row>
    <row r="4" spans="2:6" ht="13.5" customHeight="1" x14ac:dyDescent="0.3">
      <c r="B4" s="69"/>
    </row>
    <row r="5" spans="2:6" ht="12.75" customHeight="1" x14ac:dyDescent="0.3">
      <c r="B5" s="6" t="s">
        <v>44</v>
      </c>
      <c r="C5" s="5" t="s">
        <v>45</v>
      </c>
      <c r="D5" s="5" t="s">
        <v>22</v>
      </c>
      <c r="E5" s="5" t="s">
        <v>30</v>
      </c>
      <c r="F5" s="4" t="s">
        <v>24</v>
      </c>
    </row>
    <row r="6" spans="2:6" ht="20.25" customHeight="1" x14ac:dyDescent="0.3">
      <c r="B6" s="6"/>
      <c r="C6" s="5"/>
      <c r="D6" s="5"/>
      <c r="E6" s="5"/>
      <c r="F6" s="4"/>
    </row>
    <row r="7" spans="2:6" ht="60" customHeight="1" x14ac:dyDescent="0.3">
      <c r="B7" s="49" t="s">
        <v>46</v>
      </c>
      <c r="C7" s="50" t="s">
        <v>47</v>
      </c>
      <c r="D7" s="50">
        <v>4</v>
      </c>
      <c r="E7" s="70">
        <v>112500</v>
      </c>
      <c r="F7" s="71">
        <f>+E7*D7</f>
        <v>450000</v>
      </c>
    </row>
    <row r="8" spans="2:6" ht="90" customHeight="1" x14ac:dyDescent="0.3">
      <c r="B8" s="22" t="s">
        <v>48</v>
      </c>
      <c r="C8" s="44" t="s">
        <v>49</v>
      </c>
      <c r="D8" s="44">
        <v>1</v>
      </c>
      <c r="E8" s="72">
        <v>0</v>
      </c>
      <c r="F8" s="71">
        <f>+E8*D8</f>
        <v>0</v>
      </c>
    </row>
    <row r="9" spans="2:6" ht="15.75" customHeight="1" x14ac:dyDescent="0.3">
      <c r="B9" s="22"/>
      <c r="C9" s="44"/>
      <c r="D9" s="44"/>
      <c r="E9" s="72"/>
      <c r="F9" s="71">
        <f>+E9*D9</f>
        <v>0</v>
      </c>
    </row>
    <row r="10" spans="2:6" ht="15.75" customHeight="1" x14ac:dyDescent="0.3">
      <c r="B10" s="22"/>
      <c r="C10" s="44"/>
      <c r="D10" s="44"/>
      <c r="E10" s="72"/>
      <c r="F10" s="71">
        <f>+E10*D10</f>
        <v>0</v>
      </c>
    </row>
    <row r="11" spans="2:6" s="73" customFormat="1" ht="16.5" customHeight="1" x14ac:dyDescent="0.3">
      <c r="B11" s="3" t="s">
        <v>26</v>
      </c>
      <c r="C11" s="3"/>
      <c r="D11" s="3"/>
      <c r="E11" s="3"/>
      <c r="F11" s="74">
        <f>SUM(F7:F10)</f>
        <v>450000</v>
      </c>
    </row>
    <row r="12" spans="2:6" ht="12.75" customHeight="1" x14ac:dyDescent="0.3">
      <c r="B12" s="75"/>
      <c r="C12" s="75"/>
      <c r="D12" s="75"/>
    </row>
    <row r="13" spans="2:6" ht="12.75" customHeight="1" x14ac:dyDescent="0.3">
      <c r="B13" s="69"/>
    </row>
  </sheetData>
  <mergeCells count="7">
    <mergeCell ref="B11:E11"/>
    <mergeCell ref="B3:F3"/>
    <mergeCell ref="B5:B6"/>
    <mergeCell ref="C5:C6"/>
    <mergeCell ref="D5:D6"/>
    <mergeCell ref="E5:E6"/>
    <mergeCell ref="F5:F6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58ED5"/>
  </sheetPr>
  <dimension ref="B2:I16"/>
  <sheetViews>
    <sheetView zoomScaleNormal="100" workbookViewId="0">
      <selection activeCell="G9" sqref="G9"/>
    </sheetView>
  </sheetViews>
  <sheetFormatPr baseColWidth="10" defaultColWidth="10.88671875" defaultRowHeight="13.8" x14ac:dyDescent="0.3"/>
  <cols>
    <col min="1" max="1" width="38.33203125" style="68" customWidth="1"/>
    <col min="2" max="2" width="30.44140625" style="68" customWidth="1"/>
    <col min="3" max="3" width="19.44140625" style="68" customWidth="1"/>
    <col min="4" max="4" width="15.6640625" style="68" customWidth="1"/>
    <col min="5" max="5" width="20.44140625" style="68" customWidth="1"/>
    <col min="6" max="6" width="16.44140625" style="68" customWidth="1"/>
    <col min="7" max="7" width="13" style="68" customWidth="1"/>
    <col min="8" max="8" width="10.88671875" style="68"/>
    <col min="9" max="9" width="12" style="68" customWidth="1"/>
    <col min="10" max="16384" width="10.88671875" style="68"/>
  </cols>
  <sheetData>
    <row r="2" spans="2:9" ht="13.5" customHeight="1" x14ac:dyDescent="0.3"/>
    <row r="3" spans="2:9" ht="19.5" customHeight="1" x14ac:dyDescent="0.35">
      <c r="B3" s="109" t="s">
        <v>50</v>
      </c>
      <c r="C3" s="109"/>
      <c r="D3" s="109"/>
      <c r="E3" s="109"/>
      <c r="F3" s="109"/>
    </row>
    <row r="4" spans="2:9" ht="13.5" customHeight="1" x14ac:dyDescent="0.3"/>
    <row r="5" spans="2:9" ht="12.75" customHeight="1" x14ac:dyDescent="0.3">
      <c r="B5" s="6" t="s">
        <v>51</v>
      </c>
      <c r="C5" s="5" t="s">
        <v>45</v>
      </c>
      <c r="D5" s="5" t="s">
        <v>22</v>
      </c>
      <c r="E5" s="5" t="s">
        <v>30</v>
      </c>
      <c r="F5" s="4" t="s">
        <v>24</v>
      </c>
    </row>
    <row r="6" spans="2:9" ht="12.75" customHeight="1" x14ac:dyDescent="0.3">
      <c r="B6" s="6"/>
      <c r="C6" s="5"/>
      <c r="D6" s="5"/>
      <c r="E6" s="5"/>
      <c r="F6" s="4"/>
    </row>
    <row r="7" spans="2:9" ht="15.75" customHeight="1" x14ac:dyDescent="0.3">
      <c r="B7" s="22" t="s">
        <v>52</v>
      </c>
      <c r="C7" s="44" t="s">
        <v>53</v>
      </c>
      <c r="D7" s="44">
        <v>0</v>
      </c>
      <c r="E7" s="72">
        <v>0</v>
      </c>
      <c r="F7" s="76">
        <f>+E7*D7</f>
        <v>0</v>
      </c>
    </row>
    <row r="8" spans="2:9" ht="15.75" customHeight="1" x14ac:dyDescent="0.3">
      <c r="B8" s="22"/>
      <c r="C8" s="44"/>
      <c r="D8" s="44"/>
      <c r="E8" s="72"/>
      <c r="F8" s="76">
        <f>+E8*D8</f>
        <v>0</v>
      </c>
    </row>
    <row r="9" spans="2:9" ht="15.75" customHeight="1" x14ac:dyDescent="0.3">
      <c r="B9" s="22"/>
      <c r="C9" s="44"/>
      <c r="D9" s="44"/>
      <c r="E9" s="72"/>
      <c r="F9" s="76">
        <f>+E9*D9</f>
        <v>0</v>
      </c>
    </row>
    <row r="10" spans="2:9" s="77" customFormat="1" ht="16.5" customHeight="1" x14ac:dyDescent="0.3">
      <c r="B10" s="3" t="s">
        <v>26</v>
      </c>
      <c r="C10" s="3"/>
      <c r="D10" s="3"/>
      <c r="E10" s="3"/>
      <c r="F10" s="78">
        <f>SUM(F7:F9)</f>
        <v>0</v>
      </c>
    </row>
    <row r="16" spans="2:9" ht="12.75" customHeight="1" x14ac:dyDescent="0.3">
      <c r="G16" s="79"/>
      <c r="I16" s="79"/>
    </row>
  </sheetData>
  <mergeCells count="7">
    <mergeCell ref="B10:E10"/>
    <mergeCell ref="B3:F3"/>
    <mergeCell ref="B5:B6"/>
    <mergeCell ref="C5:C6"/>
    <mergeCell ref="D5:D6"/>
    <mergeCell ref="E5:E6"/>
    <mergeCell ref="F5:F6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</sheetPr>
  <dimension ref="B2:F12"/>
  <sheetViews>
    <sheetView zoomScaleNormal="100" workbookViewId="0">
      <selection activeCell="B12" sqref="B12:E12"/>
    </sheetView>
  </sheetViews>
  <sheetFormatPr baseColWidth="10" defaultColWidth="10.88671875" defaultRowHeight="13.8" x14ac:dyDescent="0.3"/>
  <cols>
    <col min="1" max="1" width="36.88671875" style="68" customWidth="1"/>
    <col min="2" max="2" width="29.33203125" style="68" customWidth="1"/>
    <col min="3" max="3" width="19.44140625" style="68" customWidth="1"/>
    <col min="4" max="4" width="12.44140625" style="68" customWidth="1"/>
    <col min="5" max="5" width="19.6640625" style="68" customWidth="1"/>
    <col min="6" max="6" width="17.44140625" style="68" customWidth="1"/>
    <col min="7" max="16384" width="10.88671875" style="68"/>
  </cols>
  <sheetData>
    <row r="2" spans="2:6" ht="13.5" customHeight="1" x14ac:dyDescent="0.3"/>
    <row r="3" spans="2:6" ht="19.5" customHeight="1" x14ac:dyDescent="0.3">
      <c r="B3" s="2" t="s">
        <v>54</v>
      </c>
      <c r="C3" s="2"/>
      <c r="D3" s="2"/>
      <c r="E3" s="2"/>
      <c r="F3" s="2"/>
    </row>
    <row r="4" spans="2:6" ht="13.5" customHeight="1" x14ac:dyDescent="0.3">
      <c r="B4" s="75"/>
      <c r="C4" s="75"/>
      <c r="D4" s="75"/>
      <c r="E4" s="75"/>
    </row>
    <row r="5" spans="2:6" ht="12.75" customHeight="1" x14ac:dyDescent="0.3">
      <c r="B5" s="6" t="s">
        <v>28</v>
      </c>
      <c r="C5" s="5" t="s">
        <v>45</v>
      </c>
      <c r="D5" s="5" t="s">
        <v>22</v>
      </c>
      <c r="E5" s="5" t="s">
        <v>30</v>
      </c>
      <c r="F5" s="4" t="s">
        <v>24</v>
      </c>
    </row>
    <row r="6" spans="2:6" ht="16.5" customHeight="1" x14ac:dyDescent="0.3">
      <c r="B6" s="6"/>
      <c r="C6" s="5"/>
      <c r="D6" s="5"/>
      <c r="E6" s="5"/>
      <c r="F6" s="4"/>
    </row>
    <row r="7" spans="2:6" ht="63.75" customHeight="1" x14ac:dyDescent="0.3">
      <c r="B7" s="22" t="s">
        <v>55</v>
      </c>
      <c r="C7" s="44" t="s">
        <v>49</v>
      </c>
      <c r="D7" s="44">
        <v>1</v>
      </c>
      <c r="E7" s="72">
        <v>0</v>
      </c>
      <c r="F7" s="76">
        <f>+E7*D7</f>
        <v>0</v>
      </c>
    </row>
    <row r="8" spans="2:6" ht="15.75" customHeight="1" x14ac:dyDescent="0.3">
      <c r="B8" s="22"/>
      <c r="C8" s="44"/>
      <c r="D8" s="44"/>
      <c r="E8" s="72"/>
      <c r="F8" s="76">
        <f>+E8*D8</f>
        <v>0</v>
      </c>
    </row>
    <row r="9" spans="2:6" ht="15.75" customHeight="1" x14ac:dyDescent="0.3">
      <c r="B9" s="22"/>
      <c r="C9" s="44"/>
      <c r="D9" s="44"/>
      <c r="E9" s="72"/>
      <c r="F9" s="76">
        <f>+E9*D9</f>
        <v>0</v>
      </c>
    </row>
    <row r="10" spans="2:6" ht="15.75" customHeight="1" x14ac:dyDescent="0.3">
      <c r="B10" s="22"/>
      <c r="C10" s="44"/>
      <c r="D10" s="44"/>
      <c r="E10" s="72"/>
      <c r="F10" s="76">
        <f>+E10*D10</f>
        <v>0</v>
      </c>
    </row>
    <row r="11" spans="2:6" ht="15.75" customHeight="1" x14ac:dyDescent="0.3">
      <c r="B11" s="22"/>
      <c r="C11" s="44"/>
      <c r="D11" s="44"/>
      <c r="E11" s="72"/>
      <c r="F11" s="76">
        <f>+E11*D11</f>
        <v>0</v>
      </c>
    </row>
    <row r="12" spans="2:6" s="77" customFormat="1" ht="16.5" customHeight="1" x14ac:dyDescent="0.3">
      <c r="B12" s="3" t="s">
        <v>26</v>
      </c>
      <c r="C12" s="3"/>
      <c r="D12" s="3"/>
      <c r="E12" s="3"/>
      <c r="F12" s="78">
        <f>SUM(F7:F11)</f>
        <v>0</v>
      </c>
    </row>
  </sheetData>
  <mergeCells count="7">
    <mergeCell ref="B12:E12"/>
    <mergeCell ref="B3:F3"/>
    <mergeCell ref="B5:B6"/>
    <mergeCell ref="C5:C6"/>
    <mergeCell ref="D5:D6"/>
    <mergeCell ref="E5:E6"/>
    <mergeCell ref="F5:F6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B1:T41"/>
  <sheetViews>
    <sheetView tabSelected="1" zoomScaleNormal="100" workbookViewId="0">
      <selection activeCell="V18" sqref="V18"/>
    </sheetView>
  </sheetViews>
  <sheetFormatPr baseColWidth="10" defaultColWidth="10.88671875" defaultRowHeight="14.4" x14ac:dyDescent="0.3"/>
  <cols>
    <col min="1" max="1" width="17.109375" customWidth="1"/>
    <col min="2" max="2" width="4.33203125" customWidth="1"/>
    <col min="3" max="3" width="4.44140625" customWidth="1"/>
    <col min="4" max="4" width="44" customWidth="1"/>
    <col min="5" max="6" width="12" customWidth="1"/>
    <col min="7" max="9" width="15" customWidth="1"/>
    <col min="10" max="19" width="7" hidden="1" customWidth="1"/>
    <col min="20" max="20" width="15" customWidth="1"/>
  </cols>
  <sheetData>
    <row r="1" spans="2:20" ht="15.75" customHeight="1" x14ac:dyDescent="0.3"/>
    <row r="2" spans="2:20" ht="19.5" customHeight="1" x14ac:dyDescent="0.35">
      <c r="B2" s="109" t="s">
        <v>56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</row>
    <row r="3" spans="2:20" ht="15.75" customHeight="1" x14ac:dyDescent="0.3"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</row>
    <row r="4" spans="2:20" ht="18.75" customHeight="1" x14ac:dyDescent="0.35">
      <c r="B4" s="110" t="s">
        <v>57</v>
      </c>
      <c r="C4" s="110"/>
      <c r="D4" s="110"/>
      <c r="E4" s="111" t="s">
        <v>58</v>
      </c>
      <c r="F4" s="111"/>
      <c r="G4" s="111"/>
      <c r="H4" s="112" t="s">
        <v>59</v>
      </c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</row>
    <row r="5" spans="2:20" ht="31.5" customHeight="1" x14ac:dyDescent="0.3">
      <c r="B5" s="110"/>
      <c r="C5" s="110"/>
      <c r="D5" s="110"/>
      <c r="E5" s="81" t="s">
        <v>5</v>
      </c>
      <c r="F5" s="81" t="s">
        <v>6</v>
      </c>
      <c r="G5" s="81" t="s">
        <v>7</v>
      </c>
      <c r="H5" s="82" t="s">
        <v>60</v>
      </c>
      <c r="I5" s="82" t="s">
        <v>61</v>
      </c>
      <c r="J5" s="83" t="s">
        <v>62</v>
      </c>
      <c r="K5" s="83" t="s">
        <v>63</v>
      </c>
      <c r="L5" s="83" t="s">
        <v>64</v>
      </c>
      <c r="M5" s="83" t="s">
        <v>65</v>
      </c>
      <c r="N5" s="83" t="s">
        <v>66</v>
      </c>
      <c r="O5" s="83" t="s">
        <v>67</v>
      </c>
      <c r="P5" s="83" t="s">
        <v>68</v>
      </c>
      <c r="Q5" s="83" t="s">
        <v>69</v>
      </c>
      <c r="R5" s="83" t="s">
        <v>70</v>
      </c>
      <c r="S5" s="83" t="s">
        <v>71</v>
      </c>
      <c r="T5" s="84" t="s">
        <v>72</v>
      </c>
    </row>
    <row r="6" spans="2:20" ht="15.75" customHeight="1" x14ac:dyDescent="0.3">
      <c r="B6" s="113" t="s">
        <v>73</v>
      </c>
      <c r="C6" s="113"/>
      <c r="D6" s="113"/>
      <c r="E6" s="85"/>
      <c r="F6" s="85"/>
      <c r="G6" s="86"/>
      <c r="H6" s="87"/>
      <c r="I6" s="87"/>
      <c r="J6" s="88"/>
      <c r="K6" s="88"/>
      <c r="L6" s="88"/>
      <c r="M6" s="88"/>
      <c r="N6" s="88"/>
      <c r="O6" s="88"/>
      <c r="P6" s="88"/>
      <c r="Q6" s="88"/>
      <c r="R6" s="88"/>
      <c r="S6" s="88"/>
      <c r="T6" s="87"/>
    </row>
    <row r="7" spans="2:20" ht="31.5" customHeight="1" x14ac:dyDescent="0.3">
      <c r="B7" s="89"/>
      <c r="C7" s="114" t="s">
        <v>74</v>
      </c>
      <c r="D7" s="114"/>
      <c r="E7" s="90">
        <v>0</v>
      </c>
      <c r="F7" s="90">
        <v>0</v>
      </c>
      <c r="G7" s="90">
        <f>+T7</f>
        <v>6000000</v>
      </c>
      <c r="H7" s="90">
        <v>6000000</v>
      </c>
      <c r="I7" s="90">
        <v>0</v>
      </c>
      <c r="J7" s="88"/>
      <c r="K7" s="88"/>
      <c r="L7" s="88"/>
      <c r="M7" s="88"/>
      <c r="N7" s="88"/>
      <c r="O7" s="88"/>
      <c r="P7" s="88"/>
      <c r="Q7" s="88"/>
      <c r="R7" s="88"/>
      <c r="S7" s="88"/>
      <c r="T7" s="90">
        <f>SUM(H7:S7)</f>
        <v>6000000</v>
      </c>
    </row>
    <row r="8" spans="2:20" ht="15.75" customHeight="1" x14ac:dyDescent="0.3">
      <c r="B8" s="113" t="s">
        <v>75</v>
      </c>
      <c r="C8" s="113"/>
      <c r="D8" s="113"/>
      <c r="E8" s="91"/>
      <c r="F8" s="91"/>
      <c r="G8" s="92"/>
      <c r="H8" s="87"/>
      <c r="I8" s="87"/>
      <c r="J8" s="88"/>
      <c r="K8" s="88"/>
      <c r="L8" s="88"/>
      <c r="M8" s="88"/>
      <c r="N8" s="88"/>
      <c r="O8" s="88"/>
      <c r="P8" s="88"/>
      <c r="Q8" s="88"/>
      <c r="R8" s="88"/>
      <c r="S8" s="88"/>
      <c r="T8" s="87"/>
    </row>
    <row r="9" spans="2:20" ht="31.5" customHeight="1" x14ac:dyDescent="0.3">
      <c r="B9" s="89"/>
      <c r="C9" s="114" t="s">
        <v>76</v>
      </c>
      <c r="D9" s="114"/>
      <c r="E9" s="93">
        <v>0</v>
      </c>
      <c r="F9" s="93">
        <v>0</v>
      </c>
      <c r="G9" s="90">
        <f>+T9</f>
        <v>790000</v>
      </c>
      <c r="H9" s="90">
        <v>790000</v>
      </c>
      <c r="I9" s="90">
        <v>0</v>
      </c>
      <c r="J9" s="88"/>
      <c r="K9" s="88"/>
      <c r="L9" s="88"/>
      <c r="M9" s="88"/>
      <c r="N9" s="88"/>
      <c r="O9" s="88"/>
      <c r="P9" s="88"/>
      <c r="Q9" s="88"/>
      <c r="R9" s="88"/>
      <c r="S9" s="88"/>
      <c r="T9" s="90">
        <f>SUM(H9:S9)</f>
        <v>790000</v>
      </c>
    </row>
    <row r="10" spans="2:20" ht="31.5" customHeight="1" x14ac:dyDescent="0.3">
      <c r="B10" s="89"/>
      <c r="C10" s="114" t="s">
        <v>77</v>
      </c>
      <c r="D10" s="114"/>
      <c r="E10" s="93">
        <v>0</v>
      </c>
      <c r="F10" s="93">
        <v>0</v>
      </c>
      <c r="G10" s="90">
        <f>+T10</f>
        <v>1050000</v>
      </c>
      <c r="H10" s="90">
        <v>1050000</v>
      </c>
      <c r="I10" s="90">
        <v>0</v>
      </c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90">
        <f>SUM(H10:S10)</f>
        <v>1050000</v>
      </c>
    </row>
    <row r="11" spans="2:20" ht="15.75" customHeight="1" x14ac:dyDescent="0.3">
      <c r="B11" s="113" t="s">
        <v>78</v>
      </c>
      <c r="C11" s="113"/>
      <c r="D11" s="113"/>
      <c r="E11" s="91"/>
      <c r="F11" s="91"/>
      <c r="G11" s="92"/>
      <c r="H11" s="87"/>
      <c r="I11" s="87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7"/>
    </row>
    <row r="12" spans="2:20" ht="31.5" customHeight="1" x14ac:dyDescent="0.3">
      <c r="B12" s="89"/>
      <c r="C12" s="114" t="s">
        <v>79</v>
      </c>
      <c r="D12" s="114"/>
      <c r="E12" s="93">
        <v>0</v>
      </c>
      <c r="F12" s="93">
        <v>0</v>
      </c>
      <c r="G12" s="90">
        <f>+T12</f>
        <v>900000</v>
      </c>
      <c r="H12" s="90">
        <v>900000</v>
      </c>
      <c r="I12" s="90">
        <v>0</v>
      </c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90">
        <f>SUM(H12:S12)</f>
        <v>900000</v>
      </c>
    </row>
    <row r="13" spans="2:20" ht="31.5" customHeight="1" x14ac:dyDescent="0.3">
      <c r="B13" s="94"/>
      <c r="C13" s="114" t="s">
        <v>80</v>
      </c>
      <c r="D13" s="114"/>
      <c r="E13" s="93">
        <v>0</v>
      </c>
      <c r="F13" s="93">
        <v>0</v>
      </c>
      <c r="G13" s="90">
        <f>+T13</f>
        <v>1200000</v>
      </c>
      <c r="H13" s="90">
        <v>850000</v>
      </c>
      <c r="I13" s="90">
        <v>350000</v>
      </c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90">
        <f>SUM(H13:S13)</f>
        <v>1200000</v>
      </c>
    </row>
    <row r="14" spans="2:20" ht="15.75" customHeight="1" x14ac:dyDescent="0.3">
      <c r="B14" s="113" t="s">
        <v>81</v>
      </c>
      <c r="C14" s="113"/>
      <c r="D14" s="113"/>
      <c r="E14" s="85"/>
      <c r="F14" s="85"/>
      <c r="G14" s="92"/>
      <c r="H14" s="87"/>
      <c r="I14" s="87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7"/>
    </row>
    <row r="15" spans="2:20" ht="31.5" customHeight="1" x14ac:dyDescent="0.3">
      <c r="B15" s="89"/>
      <c r="C15" s="114" t="s">
        <v>82</v>
      </c>
      <c r="D15" s="114"/>
      <c r="E15" s="93">
        <v>0</v>
      </c>
      <c r="F15" s="93">
        <v>0</v>
      </c>
      <c r="G15" s="90">
        <f>+T15</f>
        <v>1050000</v>
      </c>
      <c r="H15" s="90">
        <v>0</v>
      </c>
      <c r="I15" s="90">
        <v>1050000</v>
      </c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90">
        <f>SUM(H15:S15)</f>
        <v>1050000</v>
      </c>
    </row>
    <row r="16" spans="2:20" ht="31.5" customHeight="1" x14ac:dyDescent="0.3">
      <c r="B16" s="89"/>
      <c r="C16" s="114" t="s">
        <v>83</v>
      </c>
      <c r="D16" s="114"/>
      <c r="E16" s="93">
        <v>0</v>
      </c>
      <c r="F16" s="93">
        <v>0</v>
      </c>
      <c r="G16" s="90">
        <f>+T16</f>
        <v>700000</v>
      </c>
      <c r="H16" s="90">
        <v>0</v>
      </c>
      <c r="I16" s="90">
        <v>700000</v>
      </c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90">
        <f>SUM(H16:S16)</f>
        <v>700000</v>
      </c>
    </row>
    <row r="17" spans="2:20" ht="15.75" customHeight="1" x14ac:dyDescent="0.3">
      <c r="B17" s="113" t="s">
        <v>84</v>
      </c>
      <c r="C17" s="113"/>
      <c r="D17" s="113"/>
      <c r="E17" s="91"/>
      <c r="F17" s="91"/>
      <c r="G17" s="92"/>
      <c r="H17" s="87"/>
      <c r="I17" s="87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7"/>
    </row>
    <row r="18" spans="2:20" ht="31.5" customHeight="1" x14ac:dyDescent="0.3">
      <c r="B18" s="89"/>
      <c r="C18" s="114" t="s">
        <v>85</v>
      </c>
      <c r="D18" s="114"/>
      <c r="E18" s="93">
        <v>0</v>
      </c>
      <c r="F18" s="93">
        <v>0</v>
      </c>
      <c r="G18" s="90">
        <f>+T18</f>
        <v>830000</v>
      </c>
      <c r="H18" s="90">
        <v>0</v>
      </c>
      <c r="I18" s="90">
        <v>830000</v>
      </c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90">
        <f>SUM(H18:S18)</f>
        <v>830000</v>
      </c>
    </row>
    <row r="19" spans="2:20" ht="15.75" customHeight="1" x14ac:dyDescent="0.3">
      <c r="B19" s="113" t="s">
        <v>86</v>
      </c>
      <c r="C19" s="113"/>
      <c r="D19" s="113"/>
      <c r="E19" s="91"/>
      <c r="F19" s="91"/>
      <c r="G19" s="92"/>
      <c r="H19" s="87"/>
      <c r="I19" s="87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7"/>
    </row>
    <row r="20" spans="2:20" ht="31.5" customHeight="1" x14ac:dyDescent="0.3">
      <c r="B20" s="89"/>
      <c r="C20" s="114" t="s">
        <v>87</v>
      </c>
      <c r="D20" s="114"/>
      <c r="E20" s="93">
        <v>0</v>
      </c>
      <c r="F20" s="93">
        <v>0</v>
      </c>
      <c r="G20" s="90">
        <f>+T20</f>
        <v>630000</v>
      </c>
      <c r="H20" s="90">
        <v>0</v>
      </c>
      <c r="I20" s="90">
        <v>630000</v>
      </c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90">
        <f>SUM(H20:S20)</f>
        <v>630000</v>
      </c>
    </row>
    <row r="21" spans="2:20" ht="15.75" customHeight="1" x14ac:dyDescent="0.3">
      <c r="B21" s="113" t="s">
        <v>88</v>
      </c>
      <c r="C21" s="113"/>
      <c r="D21" s="113"/>
      <c r="E21" s="91"/>
      <c r="F21" s="91"/>
      <c r="G21" s="92"/>
      <c r="H21" s="87"/>
      <c r="I21" s="87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7"/>
    </row>
    <row r="22" spans="2:20" ht="31.5" customHeight="1" x14ac:dyDescent="0.3">
      <c r="B22" s="89"/>
      <c r="C22" s="114" t="s">
        <v>89</v>
      </c>
      <c r="D22" s="114"/>
      <c r="E22" s="93">
        <v>0</v>
      </c>
      <c r="F22" s="93">
        <v>0</v>
      </c>
      <c r="G22" s="90">
        <f>+T22</f>
        <v>450000</v>
      </c>
      <c r="H22" s="90">
        <v>225000</v>
      </c>
      <c r="I22" s="90">
        <v>225000</v>
      </c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90">
        <f>SUM(H22:S22)</f>
        <v>450000</v>
      </c>
    </row>
    <row r="23" spans="2:20" ht="16.5" customHeight="1" x14ac:dyDescent="0.3">
      <c r="B23" s="115" t="s">
        <v>90</v>
      </c>
      <c r="C23" s="115"/>
      <c r="D23" s="115"/>
      <c r="E23" s="95">
        <f>SUM(E6:E22)</f>
        <v>0</v>
      </c>
      <c r="F23" s="95">
        <f>SUM(F6:F22)</f>
        <v>0</v>
      </c>
      <c r="G23" s="95">
        <f>SUM(G6:G22)</f>
        <v>13600000</v>
      </c>
      <c r="H23" s="96">
        <f>SUM(H6:H22)</f>
        <v>9815000</v>
      </c>
      <c r="I23" s="96">
        <f>SUM(I6:I22)</f>
        <v>3785000</v>
      </c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6">
        <f>SUM(T6:T22)</f>
        <v>13600000</v>
      </c>
    </row>
    <row r="24" spans="2:20" ht="18.75" customHeight="1" x14ac:dyDescent="0.35">
      <c r="B24" s="116" t="s">
        <v>91</v>
      </c>
      <c r="C24" s="116"/>
      <c r="D24" s="116"/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98">
        <f>SUM(T6:T22)</f>
        <v>13600000</v>
      </c>
    </row>
    <row r="25" spans="2:20" ht="15" customHeight="1" x14ac:dyDescent="0.3">
      <c r="B25" s="117" t="s">
        <v>92</v>
      </c>
      <c r="C25" s="117"/>
      <c r="D25" s="117"/>
      <c r="E25" s="117"/>
      <c r="F25" s="117"/>
      <c r="G25" s="117"/>
    </row>
    <row r="33" ht="9.75" customHeight="1" x14ac:dyDescent="0.3"/>
    <row r="34" ht="9.75" customHeight="1" x14ac:dyDescent="0.3"/>
    <row r="35" ht="9.75" customHeight="1" x14ac:dyDescent="0.3"/>
    <row r="36" ht="9.75" customHeight="1" x14ac:dyDescent="0.3"/>
    <row r="37" ht="9.75" customHeight="1" x14ac:dyDescent="0.3"/>
    <row r="38" ht="9.75" customHeight="1" x14ac:dyDescent="0.3"/>
    <row r="39" ht="9.75" customHeight="1" x14ac:dyDescent="0.3"/>
    <row r="40" ht="9.75" customHeight="1" x14ac:dyDescent="0.3"/>
    <row r="41" ht="9.75" customHeight="1" x14ac:dyDescent="0.3"/>
  </sheetData>
  <mergeCells count="24">
    <mergeCell ref="C22:D22"/>
    <mergeCell ref="B23:D23"/>
    <mergeCell ref="B24:S24"/>
    <mergeCell ref="B25:G25"/>
    <mergeCell ref="B17:D17"/>
    <mergeCell ref="C18:D18"/>
    <mergeCell ref="B19:D19"/>
    <mergeCell ref="C20:D20"/>
    <mergeCell ref="B21:D21"/>
    <mergeCell ref="C12:D12"/>
    <mergeCell ref="C13:D13"/>
    <mergeCell ref="B14:D14"/>
    <mergeCell ref="C15:D15"/>
    <mergeCell ref="C16:D16"/>
    <mergeCell ref="C7:D7"/>
    <mergeCell ref="B8:D8"/>
    <mergeCell ref="C9:D9"/>
    <mergeCell ref="C10:D10"/>
    <mergeCell ref="B11:D11"/>
    <mergeCell ref="B2:T2"/>
    <mergeCell ref="B4:D5"/>
    <mergeCell ref="E4:G4"/>
    <mergeCell ref="H4:T4"/>
    <mergeCell ref="B6:D6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E3:L27"/>
  <sheetViews>
    <sheetView topLeftCell="C4" zoomScaleNormal="100" workbookViewId="0">
      <selection activeCell="O21" sqref="O21"/>
    </sheetView>
  </sheetViews>
  <sheetFormatPr baseColWidth="10" defaultColWidth="10.6640625" defaultRowHeight="14.4" x14ac:dyDescent="0.3"/>
  <cols>
    <col min="3" max="3" width="23.44140625" customWidth="1"/>
    <col min="4" max="4" width="5.109375" customWidth="1"/>
    <col min="5" max="5" width="12.109375" customWidth="1"/>
  </cols>
  <sheetData>
    <row r="3" spans="5:12" ht="15.75" customHeight="1" x14ac:dyDescent="0.3"/>
    <row r="4" spans="5:12" ht="15" customHeight="1" x14ac:dyDescent="0.3">
      <c r="E4" s="99"/>
      <c r="F4" s="100"/>
      <c r="G4" s="100"/>
      <c r="H4" s="100"/>
      <c r="I4" s="100"/>
      <c r="J4" s="100"/>
      <c r="K4" s="100"/>
      <c r="L4" s="101"/>
    </row>
    <row r="5" spans="5:12" ht="15" customHeight="1" x14ac:dyDescent="0.3">
      <c r="E5" s="102"/>
      <c r="F5" s="103"/>
      <c r="G5" s="103"/>
      <c r="H5" s="103"/>
      <c r="I5" s="103"/>
      <c r="J5" s="103"/>
      <c r="K5" s="103"/>
      <c r="L5" s="104"/>
    </row>
    <row r="6" spans="5:12" ht="15" customHeight="1" x14ac:dyDescent="0.3">
      <c r="E6" s="102"/>
      <c r="F6" s="103"/>
      <c r="G6" s="103"/>
      <c r="H6" s="103"/>
      <c r="I6" s="103"/>
      <c r="J6" s="103"/>
      <c r="K6" s="103"/>
      <c r="L6" s="104"/>
    </row>
    <row r="7" spans="5:12" ht="15" customHeight="1" x14ac:dyDescent="0.3">
      <c r="E7" s="102"/>
      <c r="F7" s="103"/>
      <c r="G7" s="103"/>
      <c r="H7" s="103"/>
      <c r="I7" s="103"/>
      <c r="J7" s="103"/>
      <c r="K7" s="103"/>
      <c r="L7" s="104"/>
    </row>
    <row r="8" spans="5:12" ht="15" customHeight="1" x14ac:dyDescent="0.3">
      <c r="E8" s="102"/>
      <c r="F8" s="103"/>
      <c r="G8" s="103"/>
      <c r="H8" s="103"/>
      <c r="I8" s="103"/>
      <c r="J8" s="103"/>
      <c r="K8" s="103"/>
      <c r="L8" s="104"/>
    </row>
    <row r="9" spans="5:12" ht="15" customHeight="1" x14ac:dyDescent="0.3">
      <c r="E9" s="102"/>
      <c r="F9" s="103"/>
      <c r="G9" s="103"/>
      <c r="H9" s="103"/>
      <c r="I9" s="103"/>
      <c r="J9" s="103"/>
      <c r="K9" s="103"/>
      <c r="L9" s="104"/>
    </row>
    <row r="10" spans="5:12" ht="15" customHeight="1" x14ac:dyDescent="0.3">
      <c r="E10" s="102"/>
      <c r="F10" s="103"/>
      <c r="G10" s="103"/>
      <c r="H10" s="103"/>
      <c r="I10" s="103"/>
      <c r="J10" s="103"/>
      <c r="K10" s="103"/>
      <c r="L10" s="104"/>
    </row>
    <row r="11" spans="5:12" ht="15" customHeight="1" x14ac:dyDescent="0.3">
      <c r="E11" s="102"/>
      <c r="F11" s="103"/>
      <c r="G11" s="103"/>
      <c r="H11" s="103"/>
      <c r="I11" s="103"/>
      <c r="J11" s="103"/>
      <c r="K11" s="103"/>
      <c r="L11" s="104"/>
    </row>
    <row r="12" spans="5:12" ht="15" customHeight="1" x14ac:dyDescent="0.3">
      <c r="E12" s="102"/>
      <c r="F12" s="103"/>
      <c r="G12" s="103"/>
      <c r="H12" s="103"/>
      <c r="I12" s="103"/>
      <c r="J12" s="103"/>
      <c r="K12" s="103"/>
      <c r="L12" s="104"/>
    </row>
    <row r="13" spans="5:12" ht="15" customHeight="1" x14ac:dyDescent="0.3">
      <c r="E13" s="102"/>
      <c r="F13" s="103"/>
      <c r="G13" s="103"/>
      <c r="H13" s="103"/>
      <c r="I13" s="103"/>
      <c r="J13" s="103"/>
      <c r="K13" s="103"/>
      <c r="L13" s="104"/>
    </row>
    <row r="14" spans="5:12" ht="15" customHeight="1" x14ac:dyDescent="0.3">
      <c r="E14" s="102"/>
      <c r="F14" s="103"/>
      <c r="G14" s="103"/>
      <c r="H14" s="103"/>
      <c r="I14" s="103"/>
      <c r="J14" s="103"/>
      <c r="K14" s="103"/>
      <c r="L14" s="104"/>
    </row>
    <row r="15" spans="5:12" ht="15" customHeight="1" x14ac:dyDescent="0.3">
      <c r="E15" s="102"/>
      <c r="F15" s="103"/>
      <c r="G15" s="103"/>
      <c r="H15" s="103"/>
      <c r="I15" s="103"/>
      <c r="J15" s="103"/>
      <c r="K15" s="103"/>
      <c r="L15" s="104"/>
    </row>
    <row r="16" spans="5:12" ht="15" customHeight="1" x14ac:dyDescent="0.3">
      <c r="E16" s="102"/>
      <c r="F16" s="103"/>
      <c r="G16" s="103"/>
      <c r="H16" s="103"/>
      <c r="I16" s="103"/>
      <c r="J16" s="103"/>
      <c r="K16" s="103"/>
      <c r="L16" s="104"/>
    </row>
    <row r="17" spans="5:12" ht="15" customHeight="1" x14ac:dyDescent="0.3">
      <c r="E17" s="102"/>
      <c r="F17" s="103"/>
      <c r="G17" s="103"/>
      <c r="H17" s="103"/>
      <c r="I17" s="103"/>
      <c r="J17" s="103"/>
      <c r="K17" s="103"/>
      <c r="L17" s="104"/>
    </row>
    <row r="18" spans="5:12" ht="15" customHeight="1" x14ac:dyDescent="0.3">
      <c r="E18" s="102"/>
      <c r="F18" s="103"/>
      <c r="G18" s="103"/>
      <c r="H18" s="103"/>
      <c r="I18" s="103"/>
      <c r="J18" s="103"/>
      <c r="K18" s="103"/>
      <c r="L18" s="104"/>
    </row>
    <row r="19" spans="5:12" ht="15" customHeight="1" x14ac:dyDescent="0.3">
      <c r="E19" s="102"/>
      <c r="F19" s="103"/>
      <c r="G19" s="103"/>
      <c r="H19" s="103"/>
      <c r="I19" s="103"/>
      <c r="J19" s="103"/>
      <c r="K19" s="103"/>
      <c r="L19" s="104"/>
    </row>
    <row r="20" spans="5:12" ht="15" customHeight="1" x14ac:dyDescent="0.3">
      <c r="E20" s="102"/>
      <c r="F20" s="103"/>
      <c r="G20" s="103"/>
      <c r="H20" s="103"/>
      <c r="I20" s="103"/>
      <c r="J20" s="103"/>
      <c r="K20" s="103"/>
      <c r="L20" s="104"/>
    </row>
    <row r="21" spans="5:12" ht="15" customHeight="1" x14ac:dyDescent="0.3">
      <c r="E21" s="102"/>
      <c r="F21" s="103"/>
      <c r="G21" s="103"/>
      <c r="H21" s="103"/>
      <c r="I21" s="103"/>
      <c r="J21" s="103"/>
      <c r="K21" s="103"/>
      <c r="L21" s="104"/>
    </row>
    <row r="22" spans="5:12" ht="15" customHeight="1" x14ac:dyDescent="0.3">
      <c r="E22" s="102"/>
      <c r="F22" s="103"/>
      <c r="G22" s="103"/>
      <c r="H22" s="103"/>
      <c r="I22" s="103"/>
      <c r="J22" s="103"/>
      <c r="K22" s="103"/>
      <c r="L22" s="104"/>
    </row>
    <row r="23" spans="5:12" ht="15" customHeight="1" x14ac:dyDescent="0.3">
      <c r="E23" s="102"/>
      <c r="F23" s="103"/>
      <c r="G23" s="103"/>
      <c r="H23" s="103"/>
      <c r="I23" s="103"/>
      <c r="J23" s="103"/>
      <c r="K23" s="103"/>
      <c r="L23" s="104"/>
    </row>
    <row r="24" spans="5:12" ht="15" customHeight="1" x14ac:dyDescent="0.3">
      <c r="E24" s="102"/>
      <c r="F24" s="103"/>
      <c r="G24" s="103"/>
      <c r="H24" s="103"/>
      <c r="I24" s="103"/>
      <c r="J24" s="103"/>
      <c r="K24" s="103"/>
      <c r="L24" s="104"/>
    </row>
    <row r="25" spans="5:12" ht="15" customHeight="1" x14ac:dyDescent="0.3">
      <c r="E25" s="102"/>
      <c r="F25" s="103"/>
      <c r="G25" s="103"/>
      <c r="H25" s="103"/>
      <c r="I25" s="103"/>
      <c r="J25" s="103"/>
      <c r="K25" s="103"/>
      <c r="L25" s="104"/>
    </row>
    <row r="26" spans="5:12" ht="15" customHeight="1" x14ac:dyDescent="0.3">
      <c r="E26" s="102"/>
      <c r="F26" s="103"/>
      <c r="G26" s="103"/>
      <c r="H26" s="103"/>
      <c r="I26" s="103"/>
      <c r="J26" s="103"/>
      <c r="K26" s="103"/>
      <c r="L26" s="104"/>
    </row>
    <row r="27" spans="5:12" ht="15.75" customHeight="1" x14ac:dyDescent="0.3">
      <c r="E27" s="105"/>
      <c r="F27" s="106"/>
      <c r="G27" s="106"/>
      <c r="H27" s="106"/>
      <c r="I27" s="106"/>
      <c r="J27" s="106"/>
      <c r="K27" s="106"/>
      <c r="L27" s="107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E.General</vt:lpstr>
      <vt:lpstr>A-Personal</vt:lpstr>
      <vt:lpstr>B-Equipos</vt:lpstr>
      <vt:lpstr>C-Viajes</vt:lpstr>
      <vt:lpstr>D-Materiales</vt:lpstr>
      <vt:lpstr>E-Ase Tecn. y Soporte</vt:lpstr>
      <vt:lpstr>F-Otros</vt:lpstr>
      <vt:lpstr>Fujo de Caja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dc:description/>
  <cp:lastModifiedBy>Natalia Velasquez</cp:lastModifiedBy>
  <cp:revision>0</cp:revision>
  <dcterms:created xsi:type="dcterms:W3CDTF">2013-07-24T21:44:53Z</dcterms:created>
  <dcterms:modified xsi:type="dcterms:W3CDTF">2026-10-08T01:03:30Z</dcterms:modified>
  <dc:language>en-US</dc:language>
</cp:coreProperties>
</file>